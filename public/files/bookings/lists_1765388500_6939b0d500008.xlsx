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ruong/Documents/@/"/>
    </mc:Choice>
  </mc:AlternateContent>
  <xr:revisionPtr revIDLastSave="0" documentId="13_ncr:1_{7FF21C4F-518E-0E45-9562-9F6200D6C21B}" xr6:coauthVersionLast="47" xr6:coauthVersionMax="47" xr10:uidLastSave="{00000000-0000-0000-0000-000000000000}"/>
  <bookViews>
    <workbookView xWindow="0" yWindow="500" windowWidth="27800" windowHeight="17500" tabRatio="971" firstSheet="5" activeTab="18" xr2:uid="{00000000-000D-0000-FFFF-FFFF00000000}"/>
  </bookViews>
  <sheets>
    <sheet name="Lý thuyết" sheetId="20" r:id="rId1"/>
    <sheet name="Bai 1" sheetId="22" r:id="rId2"/>
    <sheet name="bài 2" sheetId="2" r:id="rId3"/>
    <sheet name="bài 3" sheetId="3" r:id="rId4"/>
    <sheet name="bài 4" sheetId="4" r:id="rId5"/>
    <sheet name="bài 5" sheetId="5" r:id="rId6"/>
    <sheet name="bài 6" sheetId="6" r:id="rId7"/>
    <sheet name="bài 7" sheetId="8" r:id="rId8"/>
    <sheet name="bai 8" sheetId="9" r:id="rId9"/>
    <sheet name="bài 9" sheetId="10" r:id="rId10"/>
    <sheet name="bài 10 " sheetId="7" r:id="rId11"/>
    <sheet name="bài 11" sheetId="11" r:id="rId12"/>
    <sheet name="Bài 12" sheetId="12" r:id="rId13"/>
    <sheet name="Bài 13" sheetId="13" r:id="rId14"/>
    <sheet name="bài 14" sheetId="14" r:id="rId15"/>
    <sheet name="bài 15" sheetId="15" r:id="rId16"/>
    <sheet name="bài 16" sheetId="17" r:id="rId17"/>
    <sheet name="Bai17" sheetId="19" r:id="rId18"/>
    <sheet name="Bai 18" sheetId="21" r:id="rId19"/>
    <sheet name="bài loc" sheetId="16" r:id="rId20"/>
  </sheets>
  <definedNames>
    <definedName name="_xlnm._FilterDatabase" localSheetId="11" hidden="1">'bài 11'!$A$2:$K$14</definedName>
    <definedName name="_xlnm._FilterDatabase" localSheetId="15" hidden="1">'bài 15'!$A$2:$I$8</definedName>
    <definedName name="_xlnm._FilterDatabase" localSheetId="19" hidden="1">'bài loc'!$A$2:$I$22</definedName>
    <definedName name="_xlnm.Criteria" localSheetId="15">'bài 15'!$G$11:$G$12</definedName>
    <definedName name="_xlnm.Criteria" localSheetId="19">'bài loc'!#REF!</definedName>
    <definedName name="_xlnm.Extract" localSheetId="15">'bài 15'!#REF!</definedName>
    <definedName name="_xlnm.Extract" localSheetId="19">'bài loc'!#REF!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1" l="1"/>
  <c r="D5" i="21"/>
  <c r="D6" i="21"/>
  <c r="D7" i="21"/>
  <c r="D8" i="21"/>
  <c r="D9" i="21"/>
  <c r="D10" i="21"/>
  <c r="F10" i="21" s="1"/>
  <c r="J10" i="21" s="1"/>
  <c r="D11" i="21"/>
  <c r="D12" i="21"/>
  <c r="D3" i="21"/>
  <c r="F6" i="21"/>
  <c r="J6" i="21" s="1"/>
  <c r="F7" i="21"/>
  <c r="J7" i="21" s="1"/>
  <c r="C26" i="21" s="1"/>
  <c r="F8" i="21"/>
  <c r="J8" i="21" s="1"/>
  <c r="F3" i="21"/>
  <c r="J3" i="21" s="1"/>
  <c r="G24" i="16"/>
  <c r="H4" i="17"/>
  <c r="H5" i="17"/>
  <c r="H6" i="17"/>
  <c r="H7" i="17"/>
  <c r="H8" i="17"/>
  <c r="H9" i="17"/>
  <c r="H10" i="17"/>
  <c r="H11" i="17"/>
  <c r="H12" i="17"/>
  <c r="H3" i="17"/>
  <c r="G4" i="17"/>
  <c r="G5" i="17"/>
  <c r="G6" i="17"/>
  <c r="G7" i="17"/>
  <c r="G8" i="17"/>
  <c r="G9" i="17"/>
  <c r="G10" i="17"/>
  <c r="G11" i="17"/>
  <c r="G12" i="17"/>
  <c r="G3" i="17"/>
  <c r="E4" i="17"/>
  <c r="E5" i="17"/>
  <c r="E6" i="17"/>
  <c r="E7" i="17"/>
  <c r="E8" i="17"/>
  <c r="E9" i="17"/>
  <c r="E10" i="17"/>
  <c r="E11" i="17"/>
  <c r="E12" i="17"/>
  <c r="E3" i="17"/>
  <c r="D23" i="7"/>
  <c r="D24" i="7"/>
  <c r="F4" i="21"/>
  <c r="F5" i="21"/>
  <c r="F9" i="21"/>
  <c r="J9" i="21" s="1"/>
  <c r="F11" i="21"/>
  <c r="J11" i="21" s="1"/>
  <c r="F12" i="21"/>
  <c r="I10" i="12"/>
  <c r="I11" i="12"/>
  <c r="J5" i="13"/>
  <c r="J6" i="13"/>
  <c r="J7" i="13"/>
  <c r="J8" i="13"/>
  <c r="J9" i="13"/>
  <c r="J10" i="13"/>
  <c r="J11" i="13"/>
  <c r="J12" i="13"/>
  <c r="J4" i="13"/>
  <c r="I5" i="13"/>
  <c r="I6" i="13"/>
  <c r="I7" i="13"/>
  <c r="I8" i="13"/>
  <c r="I9" i="13"/>
  <c r="I10" i="13"/>
  <c r="I11" i="13"/>
  <c r="I12" i="13"/>
  <c r="I4" i="13"/>
  <c r="F5" i="13"/>
  <c r="F6" i="13"/>
  <c r="F7" i="13"/>
  <c r="F8" i="13"/>
  <c r="F9" i="13"/>
  <c r="F10" i="13"/>
  <c r="F11" i="13"/>
  <c r="F12" i="13"/>
  <c r="F4" i="13"/>
  <c r="F25" i="11"/>
  <c r="F26" i="11"/>
  <c r="F27" i="11"/>
  <c r="F24" i="11"/>
  <c r="H5" i="13"/>
  <c r="H6" i="13"/>
  <c r="H7" i="13"/>
  <c r="H8" i="13"/>
  <c r="H9" i="13"/>
  <c r="H10" i="13"/>
  <c r="H11" i="13"/>
  <c r="H12" i="13"/>
  <c r="H4" i="13"/>
  <c r="I7" i="12"/>
  <c r="I8" i="12"/>
  <c r="I4" i="12"/>
  <c r="I5" i="12"/>
  <c r="I6" i="12"/>
  <c r="I9" i="12"/>
  <c r="I3" i="12"/>
  <c r="G12" i="12"/>
  <c r="G4" i="12"/>
  <c r="G5" i="12"/>
  <c r="G6" i="12"/>
  <c r="G7" i="12"/>
  <c r="G8" i="12"/>
  <c r="G9" i="12"/>
  <c r="G10" i="12"/>
  <c r="G11" i="12"/>
  <c r="G3" i="12"/>
  <c r="J4" i="11"/>
  <c r="J5" i="11"/>
  <c r="J6" i="11"/>
  <c r="J7" i="11"/>
  <c r="J8" i="11"/>
  <c r="J9" i="11"/>
  <c r="J10" i="11"/>
  <c r="J11" i="11"/>
  <c r="J12" i="11"/>
  <c r="J13" i="11"/>
  <c r="J14" i="11"/>
  <c r="J3" i="11"/>
  <c r="D22" i="7"/>
  <c r="H4" i="11"/>
  <c r="H5" i="11"/>
  <c r="H6" i="11"/>
  <c r="H7" i="11"/>
  <c r="H8" i="11"/>
  <c r="I8" i="11" s="1"/>
  <c r="H9" i="11"/>
  <c r="I9" i="11" s="1"/>
  <c r="H10" i="11"/>
  <c r="I10" i="11" s="1"/>
  <c r="H11" i="11"/>
  <c r="I11" i="11" s="1"/>
  <c r="H12" i="11"/>
  <c r="H13" i="11"/>
  <c r="H14" i="11"/>
  <c r="H3" i="11"/>
  <c r="F4" i="11"/>
  <c r="F5" i="11"/>
  <c r="F6" i="11"/>
  <c r="F7" i="11"/>
  <c r="F8" i="11"/>
  <c r="F9" i="11"/>
  <c r="F10" i="11"/>
  <c r="F11" i="11"/>
  <c r="F12" i="11"/>
  <c r="F13" i="11"/>
  <c r="F14" i="11"/>
  <c r="F3" i="11"/>
  <c r="E4" i="11"/>
  <c r="E5" i="11"/>
  <c r="E6" i="11"/>
  <c r="E7" i="11"/>
  <c r="E8" i="11"/>
  <c r="E9" i="11"/>
  <c r="E10" i="11"/>
  <c r="E11" i="11"/>
  <c r="E12" i="11"/>
  <c r="E13" i="11"/>
  <c r="E14" i="11"/>
  <c r="E3" i="11"/>
  <c r="E24" i="7"/>
  <c r="E23" i="7"/>
  <c r="E22" i="7"/>
  <c r="G3" i="7"/>
  <c r="G4" i="7"/>
  <c r="G5" i="7"/>
  <c r="G6" i="7"/>
  <c r="G7" i="7"/>
  <c r="G8" i="7"/>
  <c r="G9" i="7"/>
  <c r="I9" i="7" s="1"/>
  <c r="G10" i="7"/>
  <c r="I10" i="7" s="1"/>
  <c r="G11" i="7"/>
  <c r="G12" i="7"/>
  <c r="G13" i="7"/>
  <c r="G2" i="7"/>
  <c r="F13" i="7"/>
  <c r="F3" i="7"/>
  <c r="F4" i="7"/>
  <c r="F5" i="7"/>
  <c r="F6" i="7"/>
  <c r="F7" i="7"/>
  <c r="F8" i="7"/>
  <c r="H8" i="7" s="1"/>
  <c r="F9" i="7"/>
  <c r="F10" i="7"/>
  <c r="H10" i="7" s="1"/>
  <c r="F11" i="7"/>
  <c r="F12" i="7"/>
  <c r="F2" i="7"/>
  <c r="H5" i="7"/>
  <c r="H6" i="7"/>
  <c r="H7" i="7"/>
  <c r="H9" i="7"/>
  <c r="H13" i="7"/>
  <c r="L4" i="8"/>
  <c r="G3" i="8"/>
  <c r="G4" i="8"/>
  <c r="J4" i="8"/>
  <c r="J3" i="8"/>
  <c r="C3" i="7"/>
  <c r="C4" i="7"/>
  <c r="C5" i="7"/>
  <c r="C6" i="7"/>
  <c r="C7" i="7"/>
  <c r="C8" i="7"/>
  <c r="C9" i="7"/>
  <c r="C10" i="7"/>
  <c r="C11" i="7"/>
  <c r="C12" i="7"/>
  <c r="C13" i="7"/>
  <c r="C2" i="7"/>
  <c r="F16" i="10"/>
  <c r="F5" i="10"/>
  <c r="F6" i="10"/>
  <c r="F7" i="10"/>
  <c r="J7" i="10" s="1"/>
  <c r="L7" i="10" s="1"/>
  <c r="F8" i="10"/>
  <c r="J8" i="10" s="1"/>
  <c r="F9" i="10"/>
  <c r="J9" i="10" s="1"/>
  <c r="L9" i="10" s="1"/>
  <c r="F10" i="10"/>
  <c r="J10" i="10" s="1"/>
  <c r="L10" i="10" s="1"/>
  <c r="F11" i="10"/>
  <c r="F12" i="10"/>
  <c r="F13" i="10"/>
  <c r="F4" i="10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4" i="9"/>
  <c r="J5" i="8"/>
  <c r="J6" i="8"/>
  <c r="J7" i="8"/>
  <c r="J8" i="8"/>
  <c r="J9" i="8"/>
  <c r="J10" i="8"/>
  <c r="L10" i="8" s="1"/>
  <c r="J11" i="8"/>
  <c r="L11" i="8" s="1"/>
  <c r="J12" i="8"/>
  <c r="J13" i="8"/>
  <c r="J14" i="8"/>
  <c r="I3" i="8"/>
  <c r="I4" i="8"/>
  <c r="I5" i="8"/>
  <c r="I6" i="8"/>
  <c r="I7" i="8"/>
  <c r="I8" i="8"/>
  <c r="I9" i="8"/>
  <c r="I10" i="8"/>
  <c r="I11" i="8"/>
  <c r="I12" i="8"/>
  <c r="I13" i="8"/>
  <c r="I14" i="8"/>
  <c r="G8" i="8"/>
  <c r="F4" i="6" a="1"/>
  <c r="F4" i="6" s="1"/>
  <c r="J4" i="21"/>
  <c r="C27" i="21" s="1"/>
  <c r="J5" i="21"/>
  <c r="J12" i="21"/>
  <c r="I4" i="21"/>
  <c r="I5" i="21"/>
  <c r="I6" i="21"/>
  <c r="I7" i="21"/>
  <c r="I8" i="21"/>
  <c r="I9" i="21"/>
  <c r="I10" i="21"/>
  <c r="I11" i="21"/>
  <c r="I12" i="21"/>
  <c r="I3" i="21"/>
  <c r="H10" i="21"/>
  <c r="H12" i="21"/>
  <c r="H3" i="21"/>
  <c r="H6" i="19"/>
  <c r="H7" i="19"/>
  <c r="H8" i="19"/>
  <c r="H9" i="19"/>
  <c r="H5" i="19"/>
  <c r="C19" i="15"/>
  <c r="C18" i="15"/>
  <c r="C17" i="15"/>
  <c r="B19" i="15"/>
  <c r="B18" i="15"/>
  <c r="B17" i="15"/>
  <c r="I4" i="15"/>
  <c r="I5" i="15"/>
  <c r="I6" i="15"/>
  <c r="I7" i="15"/>
  <c r="I8" i="15"/>
  <c r="I3" i="15"/>
  <c r="H4" i="15"/>
  <c r="H5" i="15"/>
  <c r="H6" i="15"/>
  <c r="H7" i="15"/>
  <c r="H8" i="15"/>
  <c r="H3" i="15"/>
  <c r="G8" i="15"/>
  <c r="G7" i="15"/>
  <c r="G6" i="15"/>
  <c r="G5" i="15"/>
  <c r="G4" i="15"/>
  <c r="G3" i="15"/>
  <c r="F5" i="15"/>
  <c r="F6" i="15"/>
  <c r="F7" i="15"/>
  <c r="F8" i="15"/>
  <c r="F3" i="15"/>
  <c r="G5" i="13"/>
  <c r="G6" i="13"/>
  <c r="G7" i="13"/>
  <c r="G8" i="13"/>
  <c r="G9" i="13"/>
  <c r="G10" i="13"/>
  <c r="G11" i="13"/>
  <c r="G12" i="13"/>
  <c r="G4" i="13"/>
  <c r="I4" i="11"/>
  <c r="K4" i="11" s="1"/>
  <c r="I5" i="11"/>
  <c r="K5" i="11" s="1"/>
  <c r="I6" i="11"/>
  <c r="K6" i="11" s="1"/>
  <c r="I7" i="11"/>
  <c r="I12" i="11"/>
  <c r="K12" i="11" s="1"/>
  <c r="I13" i="11"/>
  <c r="K13" i="11" s="1"/>
  <c r="I14" i="11"/>
  <c r="K14" i="11" s="1"/>
  <c r="I3" i="11"/>
  <c r="I3" i="7"/>
  <c r="I4" i="7"/>
  <c r="I5" i="7"/>
  <c r="I6" i="7"/>
  <c r="I7" i="7"/>
  <c r="I8" i="7"/>
  <c r="I11" i="7"/>
  <c r="I12" i="7"/>
  <c r="I13" i="7"/>
  <c r="I2" i="7"/>
  <c r="H3" i="7"/>
  <c r="H4" i="7"/>
  <c r="H11" i="7"/>
  <c r="H12" i="7"/>
  <c r="H2" i="7"/>
  <c r="L4" i="10"/>
  <c r="K5" i="10"/>
  <c r="K6" i="10"/>
  <c r="K11" i="10"/>
  <c r="J5" i="10"/>
  <c r="L5" i="10" s="1"/>
  <c r="J6" i="10"/>
  <c r="L6" i="10" s="1"/>
  <c r="J11" i="10"/>
  <c r="L11" i="10" s="1"/>
  <c r="J12" i="10"/>
  <c r="L12" i="10" s="1"/>
  <c r="J13" i="10"/>
  <c r="L13" i="10" s="1"/>
  <c r="J4" i="10"/>
  <c r="H5" i="10"/>
  <c r="H6" i="10"/>
  <c r="H7" i="10"/>
  <c r="H8" i="10"/>
  <c r="H9" i="10"/>
  <c r="H10" i="10"/>
  <c r="H11" i="10"/>
  <c r="H12" i="10"/>
  <c r="H13" i="10"/>
  <c r="H4" i="10"/>
  <c r="G5" i="8"/>
  <c r="E13" i="10"/>
  <c r="E12" i="10"/>
  <c r="E11" i="10"/>
  <c r="E10" i="10"/>
  <c r="E9" i="10"/>
  <c r="E8" i="10"/>
  <c r="E7" i="10"/>
  <c r="E6" i="10"/>
  <c r="E5" i="10"/>
  <c r="E4" i="10"/>
  <c r="D20" i="9"/>
  <c r="E20" i="9"/>
  <c r="F20" i="9"/>
  <c r="G20" i="9"/>
  <c r="C20" i="9"/>
  <c r="D19" i="9"/>
  <c r="E19" i="9"/>
  <c r="F19" i="9"/>
  <c r="G19" i="9"/>
  <c r="C19" i="9"/>
  <c r="G18" i="9"/>
  <c r="D18" i="9"/>
  <c r="E18" i="9"/>
  <c r="F18" i="9"/>
  <c r="C18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4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4" i="9"/>
  <c r="L5" i="8"/>
  <c r="L12" i="8"/>
  <c r="L13" i="8"/>
  <c r="K5" i="8"/>
  <c r="K11" i="8"/>
  <c r="H14" i="8"/>
  <c r="H13" i="8"/>
  <c r="H12" i="8"/>
  <c r="H11" i="8"/>
  <c r="H10" i="8"/>
  <c r="H9" i="8"/>
  <c r="K9" i="8" s="1"/>
  <c r="H8" i="8"/>
  <c r="H7" i="8"/>
  <c r="K7" i="8" s="1"/>
  <c r="H6" i="8"/>
  <c r="H5" i="8"/>
  <c r="H4" i="8"/>
  <c r="H3" i="8"/>
  <c r="G7" i="8"/>
  <c r="G10" i="8"/>
  <c r="G11" i="8"/>
  <c r="G12" i="8"/>
  <c r="G13" i="8"/>
  <c r="G14" i="8"/>
  <c r="F6" i="6"/>
  <c r="F7" i="6"/>
  <c r="F8" i="6"/>
  <c r="F9" i="6"/>
  <c r="F10" i="6"/>
  <c r="F11" i="6"/>
  <c r="F12" i="6"/>
  <c r="F13" i="6"/>
  <c r="F14" i="6"/>
  <c r="F15" i="6"/>
  <c r="F16" i="6"/>
  <c r="F17" i="6"/>
  <c r="F3" i="6"/>
  <c r="E4" i="6"/>
  <c r="E7" i="6"/>
  <c r="E8" i="6"/>
  <c r="E13" i="6"/>
  <c r="E14" i="6"/>
  <c r="E15" i="6"/>
  <c r="E3" i="6"/>
  <c r="C21" i="5"/>
  <c r="I5" i="5"/>
  <c r="I6" i="5"/>
  <c r="I7" i="5"/>
  <c r="H7" i="5"/>
  <c r="I15" i="5" s="1"/>
  <c r="I9" i="5"/>
  <c r="I10" i="5"/>
  <c r="I11" i="5"/>
  <c r="I12" i="5"/>
  <c r="I13" i="5"/>
  <c r="I14" i="5"/>
  <c r="I4" i="5"/>
  <c r="I16" i="5"/>
  <c r="I3" i="5"/>
  <c r="C20" i="5"/>
  <c r="C19" i="5"/>
  <c r="I17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3" i="5"/>
  <c r="H4" i="5"/>
  <c r="H5" i="5"/>
  <c r="H6" i="5"/>
  <c r="H8" i="5"/>
  <c r="H9" i="5"/>
  <c r="H10" i="5"/>
  <c r="H11" i="5"/>
  <c r="H12" i="5"/>
  <c r="H13" i="5"/>
  <c r="H14" i="5"/>
  <c r="H15" i="5"/>
  <c r="H16" i="5"/>
  <c r="H17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3" i="5"/>
  <c r="I5" i="4"/>
  <c r="I6" i="4"/>
  <c r="I7" i="4"/>
  <c r="I8" i="4"/>
  <c r="I9" i="4"/>
  <c r="I10" i="4"/>
  <c r="I11" i="4"/>
  <c r="I12" i="4"/>
  <c r="I13" i="4"/>
  <c r="I14" i="4"/>
  <c r="H14" i="4"/>
  <c r="H13" i="4"/>
  <c r="H12" i="4"/>
  <c r="H11" i="4"/>
  <c r="H10" i="4"/>
  <c r="H9" i="4"/>
  <c r="H8" i="4"/>
  <c r="H7" i="4"/>
  <c r="H6" i="4"/>
  <c r="H5" i="4"/>
  <c r="I4" i="4"/>
  <c r="I3" i="4"/>
  <c r="H4" i="4"/>
  <c r="H3" i="4"/>
  <c r="G14" i="4"/>
  <c r="G13" i="4"/>
  <c r="G12" i="4"/>
  <c r="G11" i="4"/>
  <c r="G10" i="4"/>
  <c r="G9" i="4"/>
  <c r="G8" i="4"/>
  <c r="G7" i="4"/>
  <c r="G5" i="4"/>
  <c r="G6" i="4"/>
  <c r="G4" i="4"/>
  <c r="G3" i="4"/>
  <c r="F4" i="4"/>
  <c r="F5" i="4"/>
  <c r="F6" i="4"/>
  <c r="F7" i="4"/>
  <c r="F8" i="4"/>
  <c r="F9" i="4"/>
  <c r="F10" i="4"/>
  <c r="F11" i="4"/>
  <c r="F12" i="4"/>
  <c r="F13" i="4"/>
  <c r="F14" i="4"/>
  <c r="F3" i="4"/>
  <c r="H15" i="3"/>
  <c r="H14" i="3"/>
  <c r="H13" i="3"/>
  <c r="H12" i="3"/>
  <c r="H11" i="3"/>
  <c r="H10" i="3"/>
  <c r="H9" i="3"/>
  <c r="H8" i="3"/>
  <c r="H7" i="3"/>
  <c r="H6" i="3"/>
  <c r="H5" i="3"/>
  <c r="H4" i="3"/>
  <c r="G16" i="3"/>
  <c r="G4" i="3"/>
  <c r="G15" i="3"/>
  <c r="G5" i="3"/>
  <c r="G6" i="3"/>
  <c r="G7" i="3"/>
  <c r="G8" i="3"/>
  <c r="G9" i="3"/>
  <c r="G10" i="3"/>
  <c r="G11" i="3"/>
  <c r="G12" i="3"/>
  <c r="G13" i="3"/>
  <c r="G14" i="3"/>
  <c r="F15" i="3"/>
  <c r="F5" i="3"/>
  <c r="F6" i="3"/>
  <c r="F7" i="3"/>
  <c r="F8" i="3"/>
  <c r="F9" i="3"/>
  <c r="F10" i="3"/>
  <c r="F11" i="3"/>
  <c r="F12" i="3"/>
  <c r="F13" i="3"/>
  <c r="F14" i="3"/>
  <c r="E5" i="3"/>
  <c r="E6" i="3"/>
  <c r="E7" i="3"/>
  <c r="E8" i="3"/>
  <c r="E9" i="3"/>
  <c r="E10" i="3"/>
  <c r="E11" i="3"/>
  <c r="E12" i="3"/>
  <c r="E13" i="3"/>
  <c r="E14" i="3"/>
  <c r="E15" i="3"/>
  <c r="F4" i="3"/>
  <c r="E4" i="3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3" i="14"/>
  <c r="C25" i="21" l="1"/>
  <c r="I12" i="12"/>
  <c r="I19" i="12"/>
  <c r="G19" i="12"/>
  <c r="H19" i="12"/>
  <c r="K7" i="11"/>
  <c r="K9" i="11"/>
  <c r="K8" i="11"/>
  <c r="K3" i="11"/>
  <c r="K11" i="11"/>
  <c r="K10" i="11"/>
  <c r="F17" i="10"/>
  <c r="K8" i="10"/>
  <c r="L8" i="10" s="1"/>
  <c r="L14" i="10" s="1"/>
  <c r="K14" i="10"/>
  <c r="J14" i="10"/>
  <c r="L14" i="8"/>
  <c r="L6" i="8"/>
  <c r="L9" i="8"/>
  <c r="L8" i="8"/>
  <c r="L7" i="8"/>
  <c r="L3" i="8"/>
  <c r="I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<sst xmlns="http://schemas.openxmlformats.org/spreadsheetml/2006/main" count="1010" uniqueCount="687">
  <si>
    <t>SỐ TT</t>
  </si>
  <si>
    <t>TÊN HÀNG</t>
  </si>
  <si>
    <t>SL</t>
  </si>
  <si>
    <t>TỶ LỆ</t>
  </si>
  <si>
    <t>CHỨNG 
TỪ</t>
  </si>
  <si>
    <t>THUẾ</t>
  </si>
  <si>
    <t>TỔNG 
CỘNG</t>
  </si>
  <si>
    <t>CƯỚC
 CC</t>
  </si>
  <si>
    <t>THÀNH
 TIỀN</t>
  </si>
  <si>
    <t>ĐƠN
 GIÁ</t>
  </si>
  <si>
    <t>SỐ
 LƯỢNG</t>
  </si>
  <si>
    <t>01A04</t>
  </si>
  <si>
    <t>02A50</t>
  </si>
  <si>
    <t>02A45</t>
  </si>
  <si>
    <t>02A37</t>
  </si>
  <si>
    <t>01C20</t>
  </si>
  <si>
    <t>02B51</t>
  </si>
  <si>
    <t>02B52</t>
  </si>
  <si>
    <t>02B53</t>
  </si>
  <si>
    <t>Bàn gỗ</t>
  </si>
  <si>
    <t>Bàn sắt</t>
  </si>
  <si>
    <t>Bàn Formica</t>
  </si>
  <si>
    <t>Bàn ăn</t>
  </si>
  <si>
    <t>Bàn học</t>
  </si>
  <si>
    <t xml:space="preserve">Ghế dựa </t>
  </si>
  <si>
    <t>Ghế xếp</t>
  </si>
  <si>
    <t>Tủ bếp</t>
  </si>
  <si>
    <t>Tủ đứng</t>
  </si>
  <si>
    <t>Tủ sách</t>
  </si>
  <si>
    <t>02B50</t>
  </si>
  <si>
    <t>01C36</t>
  </si>
  <si>
    <t>SỐ 
LƯỢNG</t>
  </si>
  <si>
    <t>Xi măng</t>
  </si>
  <si>
    <t>Sắt</t>
  </si>
  <si>
    <t>Thuốc trừ sâu</t>
  </si>
  <si>
    <t>Sơn tường</t>
  </si>
  <si>
    <t>Dầu lửa</t>
  </si>
  <si>
    <t>Xăng</t>
  </si>
  <si>
    <t>Gạo</t>
  </si>
  <si>
    <t>Đường</t>
  </si>
  <si>
    <t>Sữa</t>
  </si>
  <si>
    <t>Cà phê</t>
  </si>
  <si>
    <t>Thuốc lá</t>
  </si>
  <si>
    <t>Rượu</t>
  </si>
  <si>
    <t>Tổng thành tiền</t>
  </si>
  <si>
    <t>STT</t>
  </si>
  <si>
    <t>HỌ VÀ TÊN</t>
  </si>
  <si>
    <t>MÔN DẠY</t>
  </si>
  <si>
    <t>SỐ
 TIẾT/1
 TUẦN</t>
  </si>
  <si>
    <t xml:space="preserve">SỐ LỚP </t>
  </si>
  <si>
    <t>TIỀN
 LƯƠNG</t>
  </si>
  <si>
    <t>TRỢ
 CẤP HĐ</t>
  </si>
  <si>
    <t>Nguyễn Thu Hương</t>
  </si>
  <si>
    <t>Trần Trung Thành</t>
  </si>
  <si>
    <t>Nguyễn Minh Châu</t>
  </si>
  <si>
    <t>Nguyễn Linh Chi</t>
  </si>
  <si>
    <t>Lê Thu Hà</t>
  </si>
  <si>
    <t>Vũ Thị Hà</t>
  </si>
  <si>
    <t>Trần Thanh Hà</t>
  </si>
  <si>
    <t>Đàm Thanh Hà</t>
  </si>
  <si>
    <t>Trần Quốc Thanh</t>
  </si>
  <si>
    <t>Nguyễn Thuý Hằng</t>
  </si>
  <si>
    <t>Nguyễn Minh Anh</t>
  </si>
  <si>
    <t>Dương Văn Hùng</t>
  </si>
  <si>
    <t>VP</t>
  </si>
  <si>
    <t>PC</t>
  </si>
  <si>
    <t>Corel</t>
  </si>
  <si>
    <t>Photoshop</t>
  </si>
  <si>
    <t>Mustrator</t>
  </si>
  <si>
    <t>Web</t>
  </si>
  <si>
    <t>LT</t>
  </si>
  <si>
    <t>Hệ số trợ cấp</t>
  </si>
  <si>
    <t>THỰC LĨNH</t>
  </si>
  <si>
    <t>BẢNG LƯƠNG GIÁO VIÊN THÁNG 2-2004</t>
  </si>
  <si>
    <t>NĂM SINH</t>
  </si>
  <si>
    <t>MÔN HỌC</t>
  </si>
  <si>
    <t>TOÁN</t>
  </si>
  <si>
    <t>TIN</t>
  </si>
  <si>
    <t>NN</t>
  </si>
  <si>
    <t>ĐIỂM
 TRUNG
 BÌNH</t>
  </si>
  <si>
    <t>Nguyễn Hồng Anh</t>
  </si>
  <si>
    <t>Trần Lan Anh</t>
  </si>
  <si>
    <t>Nguyễn Hà Chi</t>
  </si>
  <si>
    <t>Cao Thuý Lan</t>
  </si>
  <si>
    <t>Dương Quốc Cường</t>
  </si>
  <si>
    <t>Nguyễn Việt Nam</t>
  </si>
  <si>
    <t>Phạm Mai Hương</t>
  </si>
  <si>
    <t>Nguyễn Trung Hiếu</t>
  </si>
  <si>
    <t>Hồ Minh Hoàng</t>
  </si>
  <si>
    <t>Nguyễn Quốc Khánh</t>
  </si>
  <si>
    <t>Trịnh Linh</t>
  </si>
  <si>
    <t>Chu Văn Long</t>
  </si>
  <si>
    <t xml:space="preserve"> Lê Quốc Mạnh</t>
  </si>
  <si>
    <t>Thân Anh Minh</t>
  </si>
  <si>
    <t>Nguyễn Hoài Thu</t>
  </si>
  <si>
    <t>Điểm TB cao nhất</t>
  </si>
  <si>
    <t>Điểm TB thấp nhất</t>
  </si>
  <si>
    <t>LƯƠNG
 CƠ BẢN</t>
  </si>
  <si>
    <t>NGÀY
 CÔNG</t>
  </si>
  <si>
    <t>THƯỞNG</t>
  </si>
  <si>
    <t>XẾP
 LOẠI</t>
  </si>
  <si>
    <t>GHI CHÚ</t>
  </si>
  <si>
    <t>Nguyễn An Dương</t>
  </si>
  <si>
    <t>Đặng Phước Cường</t>
  </si>
  <si>
    <t>Nguyễn Đức Duy</t>
  </si>
  <si>
    <t>Nguyễn Anh Dũng</t>
  </si>
  <si>
    <t>Phạm Đăng Cao</t>
  </si>
  <si>
    <t>Hoàng Phi Long</t>
  </si>
  <si>
    <t>Cao Thuý Nga</t>
  </si>
  <si>
    <t>Bùi Phương Thảo</t>
  </si>
  <si>
    <t>Nguyễn Phương Hà</t>
  </si>
  <si>
    <t>Mai Phương Linh</t>
  </si>
  <si>
    <t>Bùi Duy Hưng</t>
  </si>
  <si>
    <t>Nguyễn Khánh Hoà</t>
  </si>
  <si>
    <t>Trương Chi</t>
  </si>
  <si>
    <t>Nguyễn Thị Hồng</t>
  </si>
  <si>
    <t>Nguyễn Ngọc Diệp</t>
  </si>
  <si>
    <t>MÃ</t>
  </si>
  <si>
    <t>L.NHẬP</t>
  </si>
  <si>
    <t>L.XUẤT</t>
  </si>
  <si>
    <t>ĐGNHẬP</t>
  </si>
  <si>
    <t>ĐGXUẤT</t>
  </si>
  <si>
    <t>TT.NHẬP</t>
  </si>
  <si>
    <t>TT.XUẤT</t>
  </si>
  <si>
    <t>A</t>
  </si>
  <si>
    <t>B</t>
  </si>
  <si>
    <t>C</t>
  </si>
  <si>
    <t>Bảng mã</t>
  </si>
  <si>
    <t>mã</t>
  </si>
  <si>
    <t>Chè</t>
  </si>
  <si>
    <t>Tên hàng</t>
  </si>
  <si>
    <t>ĐG.nhập</t>
  </si>
  <si>
    <t>ĐG.xuất</t>
  </si>
  <si>
    <t>Tổng
 L.nhập</t>
  </si>
  <si>
    <t>Đếm số
 lần nhập</t>
  </si>
  <si>
    <t>HỌ TÊN</t>
  </si>
  <si>
    <t>GIỚI
 TÍNH</t>
  </si>
  <si>
    <t>GIA
CẢNH</t>
  </si>
  <si>
    <t>HSL</t>
  </si>
  <si>
    <t>PHỤ
 CẤP</t>
  </si>
  <si>
    <t>Nguyễn Văn Long</t>
  </si>
  <si>
    <t>Trần Thanh Tùng</t>
  </si>
  <si>
    <t>Ngô Thị Hoa</t>
  </si>
  <si>
    <t>Lê Mỹ Lệ</t>
  </si>
  <si>
    <t>Lê Anh Thơ</t>
  </si>
  <si>
    <t>Nguyễn Anh Tân</t>
  </si>
  <si>
    <t>Hà Xuân Quảng</t>
  </si>
  <si>
    <t>Đỗ Chí Huấn</t>
  </si>
  <si>
    <t>Đào Minh Huệ</t>
  </si>
  <si>
    <t>Nguyễn Ngọc Hùng</t>
  </si>
  <si>
    <t>Lê Anh Tú</t>
  </si>
  <si>
    <t>Lê Thị Viết</t>
  </si>
  <si>
    <t>Lương CB:</t>
  </si>
  <si>
    <t>Số ngày QĐ:</t>
  </si>
  <si>
    <t>BẢNG TỔNG KẾT ĐIỂM THI</t>
  </si>
  <si>
    <t>ĐIỂM</t>
  </si>
  <si>
    <t>TỔNG
 ĐIỂM</t>
  </si>
  <si>
    <t>TRUNG 
BÌNH</t>
  </si>
  <si>
    <t>XẾP THỨ</t>
  </si>
  <si>
    <t>HỌC
 BỔNG</t>
  </si>
  <si>
    <t>XÉT LÊN
 LỚP</t>
  </si>
  <si>
    <t xml:space="preserve">LÝ </t>
  </si>
  <si>
    <t>HOÁ</t>
  </si>
  <si>
    <t>Tú</t>
  </si>
  <si>
    <t>Sơn</t>
  </si>
  <si>
    <t>Đạt</t>
  </si>
  <si>
    <t>Huấn</t>
  </si>
  <si>
    <t>Hà</t>
  </si>
  <si>
    <t>Văn</t>
  </si>
  <si>
    <t>Cường</t>
  </si>
  <si>
    <t>Thơ</t>
  </si>
  <si>
    <t>Lệ</t>
  </si>
  <si>
    <t>Thiên</t>
  </si>
  <si>
    <t>Hiếu</t>
  </si>
  <si>
    <t>Anh</t>
  </si>
  <si>
    <t>Hùng</t>
  </si>
  <si>
    <t>Lan</t>
  </si>
  <si>
    <t>Trung bình</t>
  </si>
  <si>
    <t>Max</t>
  </si>
  <si>
    <t>Min</t>
  </si>
  <si>
    <t>Số ngày quy định</t>
  </si>
  <si>
    <t>NGÀY
 SINH</t>
  </si>
  <si>
    <t>PHÒNG
 BAN</t>
  </si>
  <si>
    <t>TUỔI</t>
  </si>
  <si>
    <t>PHỤ CẤP</t>
  </si>
  <si>
    <t>TẠM
 ỨNG</t>
  </si>
  <si>
    <t>THU
 NHẬP</t>
  </si>
  <si>
    <t>Hải</t>
  </si>
  <si>
    <t>Kiên</t>
  </si>
  <si>
    <t>Chung</t>
  </si>
  <si>
    <t>Bình</t>
  </si>
  <si>
    <t>Nhung</t>
  </si>
  <si>
    <t>HC</t>
  </si>
  <si>
    <t>TV</t>
  </si>
  <si>
    <t>KT</t>
  </si>
  <si>
    <t>Tổng</t>
  </si>
  <si>
    <t>Tổng thu nhập của những người ở phòng KT</t>
  </si>
  <si>
    <t>TÊN</t>
  </si>
  <si>
    <t>THU 
NHẬP</t>
  </si>
  <si>
    <t>TIẾN</t>
  </si>
  <si>
    <t>SINH</t>
  </si>
  <si>
    <t>HÙNG</t>
  </si>
  <si>
    <t>LAN</t>
  </si>
  <si>
    <t>HÂN</t>
  </si>
  <si>
    <t>NGỌC</t>
  </si>
  <si>
    <t>HUẤN</t>
  </si>
  <si>
    <t>DŨNG</t>
  </si>
  <si>
    <t>ĐẠT</t>
  </si>
  <si>
    <t>LIÊN</t>
  </si>
  <si>
    <t>HÀ</t>
  </si>
  <si>
    <t>Bảng 1</t>
  </si>
  <si>
    <t>Mã</t>
  </si>
  <si>
    <t>Phòng ban</t>
  </si>
  <si>
    <t>DT</t>
  </si>
  <si>
    <t>VT</t>
  </si>
  <si>
    <t>Đào tạo</t>
  </si>
  <si>
    <t>Hành chính</t>
  </si>
  <si>
    <t>Tài vụ</t>
  </si>
  <si>
    <t>Vật tư</t>
  </si>
  <si>
    <t>Bảng 2</t>
  </si>
  <si>
    <t>Số ngày QĐ</t>
  </si>
  <si>
    <t>DANH SÁCH SINH VIÊN NHẬN HỌC BỔNG DU HỌC ÚC</t>
  </si>
  <si>
    <t>MÃ SINH
 VIÊN</t>
  </si>
  <si>
    <t>HỌ ĐỆM</t>
  </si>
  <si>
    <t>NS</t>
  </si>
  <si>
    <t>Trần Thu</t>
  </si>
  <si>
    <t>Lương Thanh</t>
  </si>
  <si>
    <t>Hoàng Thị</t>
  </si>
  <si>
    <t>Trần Văn</t>
  </si>
  <si>
    <t>Hoàng</t>
  </si>
  <si>
    <t>Vương Kim</t>
  </si>
  <si>
    <t>Trần Thanh</t>
  </si>
  <si>
    <t>Nguyễn Văn</t>
  </si>
  <si>
    <t>Tùng</t>
  </si>
  <si>
    <t>Linh</t>
  </si>
  <si>
    <t>Cương</t>
  </si>
  <si>
    <t>Loan</t>
  </si>
  <si>
    <t>Hoà</t>
  </si>
  <si>
    <t>BẢNG 1</t>
  </si>
  <si>
    <t>TÊN KHOA</t>
  </si>
  <si>
    <t>Tin quản lý</t>
  </si>
  <si>
    <t>MÃ 
KHOA</t>
  </si>
  <si>
    <t>Du lich</t>
  </si>
  <si>
    <t>KHU VỰC</t>
  </si>
  <si>
    <t>BẢNG THANH TOÁN LƯƠNG</t>
  </si>
  <si>
    <t>MÃ NV</t>
  </si>
  <si>
    <t>P.BAN</t>
  </si>
  <si>
    <t>C.VỤ</t>
  </si>
  <si>
    <t>PCCV</t>
  </si>
  <si>
    <t>A01</t>
  </si>
  <si>
    <t>B01</t>
  </si>
  <si>
    <t>C03</t>
  </si>
  <si>
    <t>B02</t>
  </si>
  <si>
    <t>C01</t>
  </si>
  <si>
    <t>C04</t>
  </si>
  <si>
    <t>A05</t>
  </si>
  <si>
    <t>B05</t>
  </si>
  <si>
    <t>A04</t>
  </si>
  <si>
    <t>C07</t>
  </si>
  <si>
    <t>B03</t>
  </si>
  <si>
    <t>Dương Thuỳ Chi</t>
  </si>
  <si>
    <t>Nguyễn ÁNH Hồng</t>
  </si>
  <si>
    <t>Nguyễn Đức Huy</t>
  </si>
  <si>
    <t>Nguyễn Chí Kiên</t>
  </si>
  <si>
    <t>Phạm Cao Bằng</t>
  </si>
  <si>
    <t>Phạm Hải  Nam</t>
  </si>
  <si>
    <t>Nguyễn Hà Mi</t>
  </si>
  <si>
    <t>Nguyễn Xuân Hiếu</t>
  </si>
  <si>
    <t>Bùi Gia Hiếu</t>
  </si>
  <si>
    <t>Hoàng Gia Linh</t>
  </si>
  <si>
    <t>Đoàn Hiệp</t>
  </si>
  <si>
    <t>Bùi Hồng Hạnh</t>
  </si>
  <si>
    <t>Lê Thanh Dung</t>
  </si>
  <si>
    <t>GĐ</t>
  </si>
  <si>
    <t>PGĐ</t>
  </si>
  <si>
    <t>TP</t>
  </si>
  <si>
    <t>NV</t>
  </si>
  <si>
    <t>PP</t>
  </si>
  <si>
    <t>Kế toán</t>
  </si>
  <si>
    <t>Kế hoạch</t>
  </si>
  <si>
    <t>Tên phòng</t>
  </si>
  <si>
    <t>Bảng Theo Dõi Khách Hàng</t>
  </si>
  <si>
    <t>Khách</t>
  </si>
  <si>
    <t>Số phòng</t>
  </si>
  <si>
    <t>Ngày đến</t>
  </si>
  <si>
    <t>Ngày đi</t>
  </si>
  <si>
    <t>Tiền thuê</t>
  </si>
  <si>
    <t>Tiền
 giảm</t>
  </si>
  <si>
    <t>Tiền phải
 trả</t>
  </si>
  <si>
    <t>Nam</t>
  </si>
  <si>
    <t>Minh</t>
  </si>
  <si>
    <t>Thanh</t>
  </si>
  <si>
    <t>Dũng</t>
  </si>
  <si>
    <t>C02</t>
  </si>
  <si>
    <t>A02</t>
  </si>
  <si>
    <t>DANH SÁCH ĐIỂM THI HỌC KỲ I</t>
  </si>
  <si>
    <t>PHÁI</t>
  </si>
  <si>
    <t>NƠI SINH</t>
  </si>
  <si>
    <t>NGÀY SINH</t>
  </si>
  <si>
    <t>LỚP</t>
  </si>
  <si>
    <t>ĐLT</t>
  </si>
  <si>
    <t>ĐTH</t>
  </si>
  <si>
    <t>Trần Ngọc</t>
  </si>
  <si>
    <t>Trần Anh</t>
  </si>
  <si>
    <t>Triệu Đại</t>
  </si>
  <si>
    <t>Ngô Công</t>
  </si>
  <si>
    <t>Lê Hoàng Minh</t>
  </si>
  <si>
    <t>Lý Ngọc</t>
  </si>
  <si>
    <t>Vũ Thuý Đông</t>
  </si>
  <si>
    <t>Lê Thị Minh</t>
  </si>
  <si>
    <t>Dương Quang</t>
  </si>
  <si>
    <t>Hồ Bảo</t>
  </si>
  <si>
    <t>Trương Ngọc</t>
  </si>
  <si>
    <t>Nguyễn Đình</t>
  </si>
  <si>
    <t>Nguyễn Xuân</t>
  </si>
  <si>
    <t>Lư Đồng</t>
  </si>
  <si>
    <t>Lê Phương</t>
  </si>
  <si>
    <t>Tống Gia</t>
  </si>
  <si>
    <t>Đinh Thị</t>
  </si>
  <si>
    <t>Phạm Thanh</t>
  </si>
  <si>
    <t>Đông</t>
  </si>
  <si>
    <t>Thuý</t>
  </si>
  <si>
    <t>Hoa</t>
  </si>
  <si>
    <t>Nga</t>
  </si>
  <si>
    <t>Tâm</t>
  </si>
  <si>
    <t>Tư</t>
  </si>
  <si>
    <t>Ngữ</t>
  </si>
  <si>
    <t>Ngọc</t>
  </si>
  <si>
    <t>Dung</t>
  </si>
  <si>
    <t>Thất</t>
  </si>
  <si>
    <t>Tây</t>
  </si>
  <si>
    <t>Bát</t>
  </si>
  <si>
    <t>Thập</t>
  </si>
  <si>
    <t>Kim</t>
  </si>
  <si>
    <t>Trung</t>
  </si>
  <si>
    <t>Nữ</t>
  </si>
  <si>
    <t>Sài Gòn</t>
  </si>
  <si>
    <t>Đà Nẵng</t>
  </si>
  <si>
    <t>Mỹ Tho</t>
  </si>
  <si>
    <t>Nam Hà</t>
  </si>
  <si>
    <t>Gia Định</t>
  </si>
  <si>
    <t>Tp Huế</t>
  </si>
  <si>
    <t>Huế</t>
  </si>
  <si>
    <t>Đà Lạt</t>
  </si>
  <si>
    <t>Cần Thơ</t>
  </si>
  <si>
    <t>Đông Hà</t>
  </si>
  <si>
    <t>Phú Thọ</t>
  </si>
  <si>
    <t>Việt Trì</t>
  </si>
  <si>
    <t>DH</t>
  </si>
  <si>
    <t>Báo Cáo Bán Hàng</t>
  </si>
  <si>
    <t>Mã HĐ</t>
  </si>
  <si>
    <t>Mặt Hàng</t>
  </si>
  <si>
    <t>Ngày</t>
  </si>
  <si>
    <t>Đơn vị</t>
  </si>
  <si>
    <t>SLượng</t>
  </si>
  <si>
    <t>Đơn giá</t>
  </si>
  <si>
    <t>Thành tiền</t>
  </si>
  <si>
    <t>SD1M2</t>
  </si>
  <si>
    <t>HDM64</t>
  </si>
  <si>
    <t>CDM74</t>
  </si>
  <si>
    <t>SD1M4</t>
  </si>
  <si>
    <t>Tổng Cộng</t>
  </si>
  <si>
    <t>Bảng Danh Mục</t>
  </si>
  <si>
    <t>SM2</t>
  </si>
  <si>
    <t>C74</t>
  </si>
  <si>
    <t>H64</t>
  </si>
  <si>
    <t>Đĩa mềm 1.4Mb</t>
  </si>
  <si>
    <t>Đĩa Mềm 1.2Mb</t>
  </si>
  <si>
    <t>Đĩa CD 740Mb</t>
  </si>
  <si>
    <t>Đĩa cứng 3.2Mb</t>
  </si>
  <si>
    <t>Tên Mặt hàng</t>
  </si>
  <si>
    <t>Đơn Gía</t>
  </si>
  <si>
    <t>Thùng</t>
  </si>
  <si>
    <t>Cái</t>
  </si>
  <si>
    <t>Tổng số tiền bán được của các mặt hàng</t>
  </si>
  <si>
    <t>Đĩa mềm</t>
  </si>
  <si>
    <t>Đĩa cứng</t>
  </si>
  <si>
    <t>Đĩa CD</t>
  </si>
  <si>
    <t>Bảng giá thuê phòng(VNĐ)</t>
  </si>
  <si>
    <t>Loại</t>
  </si>
  <si>
    <t xml:space="preserve">DANH SÁCH BÁN HÀNG </t>
  </si>
  <si>
    <t>TẠM Ứng</t>
  </si>
  <si>
    <t>SM4</t>
  </si>
  <si>
    <t>BÀI KIỂM TRA</t>
  </si>
  <si>
    <t>B¶ng tæng kÕt cuèi  ngµy</t>
  </si>
  <si>
    <t>Ngµy ..../...../......</t>
  </si>
  <si>
    <t>M· mÆt hµng</t>
  </si>
  <si>
    <t>Tªn mÆt hµng</t>
  </si>
  <si>
    <t>§¬n vÞ tÝnh</t>
  </si>
  <si>
    <t>§¬n gi¸</t>
  </si>
  <si>
    <t>Thµnh tiÒn</t>
  </si>
  <si>
    <t>A1</t>
  </si>
  <si>
    <t>B1</t>
  </si>
  <si>
    <t>A2</t>
  </si>
  <si>
    <t>C1</t>
  </si>
  <si>
    <t>C2</t>
  </si>
  <si>
    <t>B¶ng phô 1</t>
  </si>
  <si>
    <t>B¶ng phô 2</t>
  </si>
  <si>
    <t>KÝ tù thø nhÊt</t>
  </si>
  <si>
    <t>Lo¹i VLXD</t>
  </si>
  <si>
    <t>KÝ tù cuèi</t>
  </si>
  <si>
    <t>ChÊt l­­îng</t>
  </si>
  <si>
    <t>G¹ch men</t>
  </si>
  <si>
    <t>Viªn</t>
  </si>
  <si>
    <t>Lo¹i 1</t>
  </si>
  <si>
    <t>T«n</t>
  </si>
  <si>
    <t>TÊm</t>
  </si>
  <si>
    <t>Lo¹i 2</t>
  </si>
  <si>
    <t>Xi m¨ng</t>
  </si>
  <si>
    <t>Bao</t>
  </si>
  <si>
    <t>B¶ng ®¬n gi¸</t>
  </si>
  <si>
    <t>1</t>
  </si>
  <si>
    <t>2</t>
  </si>
  <si>
    <t>XẾP HẠNG</t>
  </si>
  <si>
    <t>Tiêu chuẩn là 24 ngày công, mỗi ngày vượt tiêu chuẩn được thưởng 50000</t>
  </si>
  <si>
    <t>XẾP LOẠI</t>
  </si>
  <si>
    <t>Nếu ngày công&gt;24 thì xếp loại A.</t>
  </si>
  <si>
    <t>Nếu 15&lt;ngày công&lt;=24 thì xếp loại B</t>
  </si>
  <si>
    <t>Nếu ngày công&lt;=15 thì xếp loại C</t>
  </si>
  <si>
    <t>=IF(điều kiện, giá trị 1, giá trị 2)</t>
  </si>
  <si>
    <t>Nếu 20&lt;=ngày công &lt;22 thì xếp loại B</t>
  </si>
  <si>
    <t>Nếu Ngày công &lt;20 thì xếp loại C</t>
  </si>
  <si>
    <t>Nếu loại B thì không thưởng.</t>
  </si>
  <si>
    <t>Nếu loại C thì phạt 20000</t>
  </si>
  <si>
    <t xml:space="preserve">THƯỞNG: </t>
  </si>
  <si>
    <t>Nếu loại A thì thưởng 50000</t>
  </si>
  <si>
    <t xml:space="preserve">PHỤ CẤP: </t>
  </si>
  <si>
    <t xml:space="preserve">XẾP LOẠI: </t>
  </si>
  <si>
    <t>Nếu ngày công&gt;=22 thì xếp loại A</t>
  </si>
  <si>
    <t>LƯƠNG=HSL*Lương CB</t>
  </si>
  <si>
    <t>=LƯƠNG+PHỤ CẤP+THƯỞNG-TẠM ỨNG</t>
  </si>
  <si>
    <t>Nếu gia cảnh có 2 con trở lên thì phụ cấp 100000.</t>
  </si>
  <si>
    <t>TẠM ỨNG=1/5 lương (Nhưng chỉ được tạm ứng tối đa 400000)</t>
  </si>
  <si>
    <t>Thành tiền=Số lượng*Đơn giá</t>
  </si>
  <si>
    <t>Thuế=5% Thành tiền</t>
  </si>
  <si>
    <t>Cước=1,12% Thành tiền</t>
  </si>
  <si>
    <t>Tổng cộng=Thành tiền+Thuế+Cước</t>
  </si>
  <si>
    <t>Tiền lương=tiền lương 1 tiết* Tổng số tiết</t>
  </si>
  <si>
    <t>Trợ cấp=Tiền lương* Hệ số trợ cấp</t>
  </si>
  <si>
    <t>Thực lĩnh=Tiền lương+Trợ cấp</t>
  </si>
  <si>
    <t>Xếp hạng: Thứ hạng học giỏi nhất nhì ba..</t>
  </si>
  <si>
    <t>Tên hàng: Dựa vào mã để tra tên hàng trong Bảng tra</t>
  </si>
  <si>
    <t>ĐG NHẬP:Dựa vào mã để tra trong bảng tra</t>
  </si>
  <si>
    <t>ĐG XUẤT: Dựa vào mã để tra trong bảng tra</t>
  </si>
  <si>
    <t>TT NHẬP= L.NHẬP * ĐGNHẬP</t>
  </si>
  <si>
    <t>TT XUẤT=L.XUẤT * ĐG XUẤT</t>
  </si>
  <si>
    <t>Điền thông tin vào bảng thống kê</t>
  </si>
  <si>
    <t>BẢNG THỐNG KÊ</t>
  </si>
  <si>
    <t>Tổng điểm=Toán + Lý + Hóa</t>
  </si>
  <si>
    <t>Xếp thứ hạng nhất, nhì, ba…</t>
  </si>
  <si>
    <t>Học bổng: Nếu tổng điểm&gt;=27 thì học bổng =240000, nếu &gt;=24 thì 180000, còn lại =0</t>
  </si>
  <si>
    <t>Xét lên lớp: Nếu Trung bình&gt;=5 và không có điểm nào&lt;1 thì lên lớp, còn lại lưu ban</t>
  </si>
  <si>
    <t>Tính trung bình, max, min của các cột</t>
  </si>
  <si>
    <t>Tuổi=Năm hiện tại - năm sinh</t>
  </si>
  <si>
    <t>LƯƠNG NGÀY</t>
  </si>
  <si>
    <t>LƯƠNG NGÀY: Nếu ở phòng HC thì Lương ngày=50000, nếu ở phòng KT thì 40000, còn lại 30000</t>
  </si>
  <si>
    <t>THƯỞNG: Nếu ngày công &gt; Số ngày quy định thì mỗi ngày dư được thưởng 25000</t>
  </si>
  <si>
    <t>LƯƠNG</t>
  </si>
  <si>
    <t>LƯƠNG=Lương ngày * Ngày công * HSL</t>
  </si>
  <si>
    <t>Tạm ứng =1/3 Lương nhưng không được tạm ứng quá 500000</t>
  </si>
  <si>
    <t>THU NHẬP=LƯƠNG + THƯỞNG - TẠM ỨNG</t>
  </si>
  <si>
    <t>Điền vào bảng thống kê</t>
  </si>
  <si>
    <t>TỔNG ĐIỂM</t>
  </si>
  <si>
    <t>XÉT LÊN LỚP</t>
  </si>
  <si>
    <t>TỔNG ĐIỂM = TOÁN + TIN + NN</t>
  </si>
  <si>
    <t>XÉT LÊN LỚP: Nếu TB&gt;=5 thì Lên lớp, ngược lại thì Lưu ban</t>
  </si>
  <si>
    <t>MÃ PHÒNG</t>
  </si>
  <si>
    <t>Mã phòng</t>
  </si>
  <si>
    <t>Mã NV</t>
  </si>
  <si>
    <t>Phụ cấp</t>
  </si>
  <si>
    <t>PHÒNG BAN, PHỤ CẤP: Dựa vào Mã phòng để tra trong bảng 1</t>
  </si>
  <si>
    <t>HSL: Dựa vào Mã NV để tra trong bảng 2</t>
  </si>
  <si>
    <t>LƯƠNG= 50000*NGÀY CÔNG * HSL</t>
  </si>
  <si>
    <t>THƯỞNG: Nếu Ngày công &gt;Số ngày quy định thì mỗi ngày dư được thưởng 25000</t>
  </si>
  <si>
    <t>Nếu (Số ngày quy định - Ngày công)&gt;=3 thì mỗi ngày thiếu bị phạt 10000</t>
  </si>
  <si>
    <t>Còn lại thưởng=0</t>
  </si>
  <si>
    <t>Định dạng ngày sinh theo mẫu: dd/mm/yy</t>
  </si>
  <si>
    <t>Đếm số người ở phòng KT</t>
  </si>
  <si>
    <t>PHÒNG BAN</t>
  </si>
  <si>
    <t>TỔNG THU NHẬP</t>
  </si>
  <si>
    <t>MÃ KHOA</t>
  </si>
  <si>
    <t>TH-01-A</t>
  </si>
  <si>
    <t>TH-02-B</t>
  </si>
  <si>
    <t>DL-01-A</t>
  </si>
  <si>
    <t>TK-02-A</t>
  </si>
  <si>
    <t>TK-03-B</t>
  </si>
  <si>
    <t>CN-01-B</t>
  </si>
  <si>
    <t>CN-10-A</t>
  </si>
  <si>
    <t>TH-05-C</t>
  </si>
  <si>
    <t>TK-02-C</t>
  </si>
  <si>
    <t>TH</t>
  </si>
  <si>
    <t>DL</t>
  </si>
  <si>
    <t>CN</t>
  </si>
  <si>
    <t>TK</t>
  </si>
  <si>
    <t>Thiết kế thời trang</t>
  </si>
  <si>
    <t>Công nghệ hóa</t>
  </si>
  <si>
    <t>Mã khoa: 2 ký tự bên trái của mã sinh viên</t>
  </si>
  <si>
    <t>Khu vực: 1 ký tự bên phải của mã sinh viên</t>
  </si>
  <si>
    <t>Tên khoa: Dựa vào Mã khoa để tra trong bảng 1</t>
  </si>
  <si>
    <t>Học bổng: nếu 2 ký tự giữa="01' thì nhận 240000, nếu ="02" thì nhận 120000, còn lại nhận 0</t>
  </si>
  <si>
    <t>Số ngày</t>
  </si>
  <si>
    <t>Tiền thuê = Số ngày * Giá thuê (tra trong bảng giá)</t>
  </si>
  <si>
    <t>Nếu Ngày đi= ngày đến thì tính nửa ngày</t>
  </si>
  <si>
    <t>Giá thuê</t>
  </si>
  <si>
    <t>Số ngày=Ngày đi - Ngày đến</t>
  </si>
  <si>
    <t>Tiền giảm: Nếu số ngày thuê&gt;=7 thì mỗi tuần chẵn sẽ được giảm 100000</t>
  </si>
  <si>
    <t>Tiền phải trả= Tiền thuê - tiền giảm\</t>
  </si>
  <si>
    <t>Tổng tiền</t>
  </si>
  <si>
    <t>Số lượt</t>
  </si>
  <si>
    <t>Tên hàng, đơn vị tính: Dựa vào 1 ký tự bên trái của mã hàng để tra trong bảng 1</t>
  </si>
  <si>
    <t>Chất lượng: Dựa vào 1 ký tự bên phải để tra trong bảng 2</t>
  </si>
  <si>
    <t>Chất lượng</t>
  </si>
  <si>
    <t>Đơn giá: Dựa vào mã hàng và chất lượng để tra trong bảng đơn giá</t>
  </si>
  <si>
    <t>=SUM(Vùng)</t>
  </si>
  <si>
    <t>Nhỏ nhất</t>
  </si>
  <si>
    <t>=MIN(Vùng)</t>
  </si>
  <si>
    <t>Lớn nhất</t>
  </si>
  <si>
    <t>=MAX(Vùng)</t>
  </si>
  <si>
    <t>* Trong công thức chữ phải đặt trong cặp dấu "…"</t>
  </si>
  <si>
    <t>TBC</t>
  </si>
  <si>
    <t>=AVERAGE(Vùng)</t>
  </si>
  <si>
    <t>* Địa chỉ tuyệt đối: F4</t>
  </si>
  <si>
    <t>Nếu…thì…ngược lại…</t>
  </si>
  <si>
    <t>=IF(Điều kiện, Giá trị 1, Giá trị 2)</t>
  </si>
  <si>
    <t>* Gõ '1 để biến số 1 thành chữ số 1</t>
  </si>
  <si>
    <t>Và</t>
  </si>
  <si>
    <t>AND(đk1, đk2,…, đkN)</t>
  </si>
  <si>
    <t>* Nhập tháng trước, ngày sau</t>
  </si>
  <si>
    <t>Hoặc</t>
  </si>
  <si>
    <t>OR(đk1, đk2, …, đkN)</t>
  </si>
  <si>
    <t>Làm tròn số</t>
  </si>
  <si>
    <t>=ROUND(Số cần làm tròn, Số chữ số làm tròn)</t>
  </si>
  <si>
    <t>Lấy phần nguyên</t>
  </si>
  <si>
    <t>=INT(Số thực)</t>
  </si>
  <si>
    <t>Xếp hạng</t>
  </si>
  <si>
    <t>=RANK(Giá trị, Vùng so sánh_F4, Kiểu xếp hạng)</t>
  </si>
  <si>
    <t>Tra cứu dọc</t>
  </si>
  <si>
    <t>=VLOOKUP(Giá trị, Vùng so sánh, TT cột cần lấy, 0)</t>
  </si>
  <si>
    <t>Tra cứu ngang</t>
  </si>
  <si>
    <t>Cắt trái N ký tự</t>
  </si>
  <si>
    <t>=LEFT(Text, N)</t>
  </si>
  <si>
    <t>Cắt phải N ký tự</t>
  </si>
  <si>
    <t>=RIGHT(Text, N)</t>
  </si>
  <si>
    <t>* Tạo vùng điều kiện cho Lọc và DSUM:</t>
  </si>
  <si>
    <t>Cắt giữa</t>
  </si>
  <si>
    <t>=MID(Text, Vị trí, N)</t>
  </si>
  <si>
    <t>- Các tiêu đề phải cùng 1 dòng</t>
  </si>
  <si>
    <t>Độ dài</t>
  </si>
  <si>
    <t>=LEN(Text)</t>
  </si>
  <si>
    <t>- Đk không có hàm thì tiêu đề giống nhau</t>
  </si>
  <si>
    <t>Nối 2 text</t>
  </si>
  <si>
    <t>&amp;</t>
  </si>
  <si>
    <t>- Đk có hàm thì tiêu đề phải khác nhau.</t>
  </si>
  <si>
    <t>=DAY(ngày tháng)</t>
  </si>
  <si>
    <t>- Các đk đặt trên cùng dòng: VÀ</t>
  </si>
  <si>
    <t>Tháng</t>
  </si>
  <si>
    <t>=MONTH(Ngày tháng)</t>
  </si>
  <si>
    <t>-Các đk đặt khác dòng: HOẶC</t>
  </si>
  <si>
    <t>Năm</t>
  </si>
  <si>
    <t>=YEAR(Ngày tháng)</t>
  </si>
  <si>
    <t>=TODAY()</t>
  </si>
  <si>
    <t>Tổng có điều kiện</t>
  </si>
  <si>
    <t>=SUMIF(Vùng tìm kiếm, điều kiện, vùng tính tổng)</t>
  </si>
  <si>
    <t>Đếm có điều kiện</t>
  </si>
  <si>
    <t>=COUNTIF(Vùng đếm, điều kiện đếm)</t>
  </si>
  <si>
    <t>TBC có điều kiện</t>
  </si>
  <si>
    <t>=AVERAGEIF(Vùng tìm kiếm, điều kiện, vùng tính TBC)</t>
  </si>
  <si>
    <t>Đổi chữ số thành số</t>
  </si>
  <si>
    <t>=VALUE(Text)</t>
  </si>
  <si>
    <t>Ngày tháng hiện tại</t>
  </si>
  <si>
    <t>BẢNG LƯƠNG</t>
  </si>
  <si>
    <t>stt</t>
  </si>
  <si>
    <t>Họ tên</t>
  </si>
  <si>
    <t>Chức vụ</t>
  </si>
  <si>
    <t>Lương CB</t>
  </si>
  <si>
    <t>Ngày công</t>
  </si>
  <si>
    <t>Tiền phạt</t>
  </si>
  <si>
    <t>Lương</t>
  </si>
  <si>
    <t>N1</t>
  </si>
  <si>
    <t>G5</t>
  </si>
  <si>
    <t>P4</t>
  </si>
  <si>
    <t>K2</t>
  </si>
  <si>
    <t>T3</t>
  </si>
  <si>
    <t>Bảng chức vụ</t>
  </si>
  <si>
    <t>Lương cơ bản</t>
  </si>
  <si>
    <t>Bảo vệ</t>
  </si>
  <si>
    <t>N</t>
  </si>
  <si>
    <t>Nhân viên</t>
  </si>
  <si>
    <t>K</t>
  </si>
  <si>
    <t>1. Điền chức vụ, phụ cấp dựa vào ký tự đầu của MãNV và Bảng chức vụ</t>
  </si>
  <si>
    <t>T</t>
  </si>
  <si>
    <t>Trưởng phòng</t>
  </si>
  <si>
    <t>2. Điền Lương cơ bản dựa vào ký tự cuối của Mã NV và bảng Lương cơ bản.</t>
  </si>
  <si>
    <t>P</t>
  </si>
  <si>
    <t>Phó GĐ</t>
  </si>
  <si>
    <t>3. TÍnh tiền phạt: Tiêu chuẩn là 25 ngày công, mỗi ngày thiếu sẽ bị phạt 50000.</t>
  </si>
  <si>
    <t>G</t>
  </si>
  <si>
    <t>Giám đốc</t>
  </si>
  <si>
    <t>4. Tính Lương=Lương CB*Ngày công - tiền phạt.</t>
  </si>
  <si>
    <t>5. Thống kê tổng tiền theo chức vụ</t>
  </si>
  <si>
    <t>Bảng thống kê</t>
  </si>
  <si>
    <t>Lấy số dư</t>
  </si>
  <si>
    <t>=MOD(Số bị chia, số chia)</t>
  </si>
  <si>
    <t>1. Lọc ra thông tin những người thuộc lớp: LT</t>
  </si>
  <si>
    <t>2. Lọc ra thông tin những bạn nữ thuộc lớp LT</t>
  </si>
  <si>
    <t>3. Lọc ra thông tin những người só nơi sinh là Sài Gòn hoặc Đà Nẵng</t>
  </si>
  <si>
    <t>4. Lọc ra thông tin nhưng người phải thi lại (ĐLT&lt;5 hoặc ĐTH &lt;5</t>
  </si>
  <si>
    <t>5. Lọc ra thông tin những người mang họ: Nguyễn</t>
  </si>
  <si>
    <t>6. Lọc ra thông tin những bạn nam sinh năm 1970</t>
  </si>
  <si>
    <t>6. Sắp xếp tổng tiền theo thứ tự tăng dần</t>
  </si>
  <si>
    <t>7. Vẽ biểu đồ minh họa bảng thống kê</t>
  </si>
  <si>
    <t>DANH SÁCH HỌC VIÊN KHÓA 1 -2011</t>
  </si>
  <si>
    <t>Họ</t>
  </si>
  <si>
    <t>Tên</t>
  </si>
  <si>
    <t>Phái</t>
  </si>
  <si>
    <t>Diện</t>
  </si>
  <si>
    <t xml:space="preserve">Lớp </t>
  </si>
  <si>
    <t>Học phí</t>
  </si>
  <si>
    <t>Giảm (%)</t>
  </si>
  <si>
    <t>Tiền đóng</t>
  </si>
  <si>
    <t>Lê Xuân</t>
  </si>
  <si>
    <t>An</t>
  </si>
  <si>
    <t>HSSV</t>
  </si>
  <si>
    <t>THA</t>
  </si>
  <si>
    <t>Trần Tấn</t>
  </si>
  <si>
    <t>Tài</t>
  </si>
  <si>
    <t>KTV</t>
  </si>
  <si>
    <t>Lê Văn</t>
  </si>
  <si>
    <t>Toàn</t>
  </si>
  <si>
    <t>Khác</t>
  </si>
  <si>
    <t>Võ Thế</t>
  </si>
  <si>
    <t>Bảo</t>
  </si>
  <si>
    <t>CS</t>
  </si>
  <si>
    <t>THB</t>
  </si>
  <si>
    <t>Lê Minh</t>
  </si>
  <si>
    <t>Vũ Thị</t>
  </si>
  <si>
    <t>Liên</t>
  </si>
  <si>
    <t>Võ Thanh</t>
  </si>
  <si>
    <t>Lộc</t>
  </si>
  <si>
    <t>Lê Ngọc</t>
  </si>
  <si>
    <t>Thủy</t>
  </si>
  <si>
    <t>Tổng cộng</t>
  </si>
  <si>
    <t>Bảng giá học phí</t>
  </si>
  <si>
    <t>Miễn giảm</t>
  </si>
  <si>
    <t>Tin học A</t>
  </si>
  <si>
    <t>Tin học B</t>
  </si>
  <si>
    <t>Giảm</t>
  </si>
  <si>
    <t>Kỹ thuật viên</t>
  </si>
  <si>
    <t>Thống kê</t>
  </si>
  <si>
    <t>Yêu cầu</t>
  </si>
  <si>
    <t>- Tính cột Học phí dựa vào Bảng giá học phí</t>
  </si>
  <si>
    <t>- Tính cột giảm dựa vào bảng Miễn giảm và nếu là phái Nữ thì giảm thêm 5%</t>
  </si>
  <si>
    <t>- Tính cột Tiền đóng</t>
  </si>
  <si>
    <t>- Tính tổng cột Học phí, tổng cột Tiền đóng</t>
  </si>
  <si>
    <t>- Kẻ khung cho bảng tính, tô màu nền cho Bảng giá học phí và Miễn giảm</t>
  </si>
  <si>
    <t>- Định dạng cột Học phí theo dạng #,##0 và cột Tiền đóng theo dạng #,##0 "VNĐ"</t>
  </si>
  <si>
    <t>- Tính Thống kê Tổng tiền đóng theo lớp</t>
  </si>
  <si>
    <t>- Rút trích ra danh sách học viên của lớp THA có cột Giảm lớn hơn 0%</t>
  </si>
  <si>
    <t>- Vẽ đồ thị dạng Pie cho phần Thống kê Tổng tiền theo Lớp</t>
  </si>
  <si>
    <t>Tính</t>
  </si>
  <si>
    <t>=AVERAGEIF(Vùng tìm kiếm, điều kiện, Vùng tính TBC)</t>
  </si>
  <si>
    <t>=HLOOKUP(Giá trị, Vùng so sánh, TT hàng cần lấy, 0)</t>
  </si>
  <si>
    <t>Tính TB cao nhất, thấp nhất, TBC cả lớp</t>
  </si>
  <si>
    <t>Điểm TBC cả lớp</t>
  </si>
  <si>
    <t>HÓA ĐƠN BÁN HÀNG</t>
  </si>
  <si>
    <t>Thuế</t>
  </si>
  <si>
    <t>TỔNG TIỀN</t>
  </si>
  <si>
    <t>TÍNH:</t>
  </si>
  <si>
    <t>Thành tiền=Đơn giá * Số lượng</t>
  </si>
  <si>
    <t>TIỀN THUẾ</t>
  </si>
  <si>
    <t>Tiền thuế = Thuế VAT * Thành tiền</t>
  </si>
  <si>
    <t>Tổng tiền=Thành tiền + Tiền thuế</t>
  </si>
  <si>
    <t>Tính tổng thành tiền</t>
  </si>
  <si>
    <t>Định dạng cột thực lĩnh có dấu phân tách hàng ngàn.</t>
  </si>
  <si>
    <t>Làm tròn các cột tổng điểm và điểm trung bình còn 1 chữ số sau dấu phẩy</t>
  </si>
  <si>
    <t>Tỷ lệ=Tổng tiền/Tổng thành tiền</t>
  </si>
  <si>
    <t>Định dạng cột tỷ lệ theo %</t>
  </si>
  <si>
    <t>Điểm TB=TỔNG ĐIỂM/3</t>
  </si>
  <si>
    <t>Nếu giới tính nữ (0) thì phụ cấp 70000.</t>
  </si>
  <si>
    <t>Trung bình = TBC(3 môn)</t>
  </si>
  <si>
    <t>Tổng sô tiết</t>
  </si>
  <si>
    <t>Tổng số tiết=Số tiết*Số lớp*4</t>
  </si>
  <si>
    <t>Tiền lương 1 tiết</t>
  </si>
  <si>
    <t>Gạch men</t>
  </si>
  <si>
    <t>Viên</t>
  </si>
  <si>
    <t>Loại 1</t>
  </si>
  <si>
    <t>Loại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</si>
</sst>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dd/mm/yy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4"/>
      <name val="Times New Roman"/>
      <family val="1"/>
    </font>
    <font>
      <sz val="12"/>
      <name val=".VnTimeH"/>
      <family val="2"/>
    </font>
    <font>
      <sz val="12"/>
      <name val=".VnTime"/>
      <family val="2"/>
    </font>
    <font>
      <b/>
      <sz val="12"/>
      <name val=".VnTime"/>
      <family val="2"/>
    </font>
    <font>
      <sz val="14"/>
      <name val=".VnTime"/>
      <family val="2"/>
    </font>
    <font>
      <sz val="10"/>
      <name val="Arial"/>
      <family val="2"/>
    </font>
    <font>
      <i/>
      <sz val="12"/>
      <name val="Arial"/>
      <family val="2"/>
    </font>
    <font>
      <sz val="11"/>
      <name val="Tahoma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8"/>
      <color rgb="FFFF0000"/>
      <name val="Arial"/>
      <family val="2"/>
    </font>
    <font>
      <b/>
      <sz val="26"/>
      <color rgb="FFFF0000"/>
      <name val="Arial"/>
      <family val="2"/>
    </font>
    <font>
      <i/>
      <sz val="10"/>
      <color rgb="FFFF0000"/>
      <name val="Arial"/>
      <family val="2"/>
    </font>
    <font>
      <sz val="12"/>
      <color rgb="FFFF0000"/>
      <name val="Arial"/>
      <family val="2"/>
    </font>
    <font>
      <i/>
      <sz val="12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Tahoma"/>
      <family val="2"/>
    </font>
    <font>
      <i/>
      <sz val="11"/>
      <color rgb="FFFF0000"/>
      <name val="Tahoma"/>
      <family val="2"/>
    </font>
    <font>
      <i/>
      <sz val="12"/>
      <color rgb="FFFF0000"/>
      <name val="Times New Roman"/>
      <family val="1"/>
    </font>
    <font>
      <b/>
      <sz val="10"/>
      <color rgb="FFFF0000"/>
      <name val="Arial"/>
      <family val="2"/>
    </font>
    <font>
      <i/>
      <sz val="10"/>
      <color rgb="FF0070C0"/>
      <name val="Arial"/>
      <family val="2"/>
    </font>
    <font>
      <i/>
      <u/>
      <sz val="10"/>
      <color rgb="FF0070C0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3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u/>
      <sz val="10"/>
      <color rgb="FFFF0000"/>
      <name val="Arial"/>
      <family val="2"/>
    </font>
    <font>
      <sz val="13"/>
      <color rgb="FF313131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" fillId="0" borderId="0"/>
    <xf numFmtId="43" fontId="38" fillId="0" borderId="0" applyFont="0" applyFill="0" applyBorder="0" applyAlignment="0" applyProtection="0"/>
    <xf numFmtId="41" fontId="38" fillId="0" borderId="0" applyFont="0" applyFill="0" applyBorder="0" applyAlignment="0" applyProtection="0"/>
  </cellStyleXfs>
  <cellXfs count="256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0" fontId="5" fillId="0" borderId="0" xfId="0" applyFont="1" applyAlignment="1">
      <alignment horizontal="center"/>
    </xf>
    <xf numFmtId="14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1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/>
    <xf numFmtId="0" fontId="6" fillId="0" borderId="0" xfId="0" applyFont="1"/>
    <xf numFmtId="0" fontId="2" fillId="0" borderId="1" xfId="0" applyFont="1" applyBorder="1" applyAlignment="1">
      <alignment horizontal="center" vertical="justify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justify" wrapText="1"/>
    </xf>
    <xf numFmtId="0" fontId="2" fillId="0" borderId="0" xfId="0" applyFont="1"/>
    <xf numFmtId="0" fontId="3" fillId="0" borderId="1" xfId="0" applyFont="1" applyBorder="1" applyAlignme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14" fontId="9" fillId="0" borderId="1" xfId="0" applyNumberFormat="1" applyFont="1" applyBorder="1"/>
    <xf numFmtId="0" fontId="9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12" fillId="0" borderId="0" xfId="0" applyFont="1"/>
    <xf numFmtId="0" fontId="13" fillId="0" borderId="0" xfId="0" applyFont="1"/>
    <xf numFmtId="0" fontId="14" fillId="5" borderId="12" xfId="0" applyFont="1" applyFill="1" applyBorder="1" applyAlignment="1">
      <alignment horizontal="center" wrapText="1"/>
    </xf>
    <xf numFmtId="0" fontId="14" fillId="5" borderId="13" xfId="0" applyFont="1" applyFill="1" applyBorder="1" applyAlignment="1">
      <alignment horizontal="center" wrapText="1"/>
    </xf>
    <xf numFmtId="0" fontId="14" fillId="5" borderId="14" xfId="0" applyFont="1" applyFill="1" applyBorder="1" applyAlignment="1">
      <alignment horizontal="center" wrapText="1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right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right"/>
    </xf>
    <xf numFmtId="0" fontId="14" fillId="0" borderId="0" xfId="0" applyFont="1" applyAlignment="1">
      <alignment horizontal="center"/>
    </xf>
    <xf numFmtId="0" fontId="13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16" xfId="0" applyFont="1" applyBorder="1"/>
    <xf numFmtId="0" fontId="13" fillId="0" borderId="17" xfId="0" applyFont="1" applyBorder="1"/>
    <xf numFmtId="0" fontId="13" fillId="0" borderId="17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9" xfId="0" applyFont="1" applyBorder="1"/>
    <xf numFmtId="0" fontId="13" fillId="0" borderId="20" xfId="0" applyFont="1" applyBorder="1"/>
    <xf numFmtId="0" fontId="13" fillId="0" borderId="17" xfId="0" applyFont="1" applyBorder="1" applyAlignment="1">
      <alignment horizontal="right"/>
    </xf>
    <xf numFmtId="0" fontId="13" fillId="0" borderId="20" xfId="0" applyFont="1" applyBorder="1" applyAlignment="1">
      <alignment horizontal="right"/>
    </xf>
    <xf numFmtId="0" fontId="13" fillId="0" borderId="15" xfId="0" quotePrefix="1" applyFont="1" applyBorder="1" applyAlignment="1">
      <alignment horizontal="center"/>
    </xf>
    <xf numFmtId="0" fontId="13" fillId="0" borderId="18" xfId="0" quotePrefix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4" fillId="0" borderId="0" xfId="0" applyFont="1"/>
    <xf numFmtId="0" fontId="16" fillId="0" borderId="1" xfId="0" applyFont="1" applyBorder="1"/>
    <xf numFmtId="0" fontId="16" fillId="0" borderId="0" xfId="0" applyFont="1"/>
    <xf numFmtId="164" fontId="16" fillId="0" borderId="1" xfId="0" applyNumberFormat="1" applyFont="1" applyBorder="1"/>
    <xf numFmtId="14" fontId="16" fillId="0" borderId="0" xfId="0" applyNumberFormat="1" applyFont="1"/>
    <xf numFmtId="0" fontId="22" fillId="0" borderId="0" xfId="0" applyFont="1"/>
    <xf numFmtId="0" fontId="16" fillId="0" borderId="1" xfId="0" applyFont="1" applyBorder="1" applyAlignment="1">
      <alignment horizontal="center" vertical="center" wrapText="1"/>
    </xf>
    <xf numFmtId="0" fontId="23" fillId="0" borderId="0" xfId="0" quotePrefix="1" applyFont="1"/>
    <xf numFmtId="0" fontId="17" fillId="0" borderId="0" xfId="0" applyFont="1"/>
    <xf numFmtId="0" fontId="3" fillId="0" borderId="0" xfId="0" applyFont="1" applyFill="1"/>
    <xf numFmtId="0" fontId="3" fillId="0" borderId="0" xfId="0" applyFont="1" applyAlignment="1"/>
    <xf numFmtId="0" fontId="3" fillId="0" borderId="4" xfId="0" applyFont="1" applyBorder="1" applyAlignment="1">
      <alignment horizontal="right" vertical="center"/>
    </xf>
    <xf numFmtId="0" fontId="24" fillId="0" borderId="3" xfId="0" applyFont="1" applyFill="1" applyBorder="1"/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0" xfId="0" applyFont="1"/>
    <xf numFmtId="0" fontId="25" fillId="0" borderId="0" xfId="0" quotePrefix="1" applyFont="1" applyAlignment="1">
      <alignment horizontal="left"/>
    </xf>
    <xf numFmtId="0" fontId="0" fillId="0" borderId="0" xfId="0" applyFill="1" applyBorder="1"/>
    <xf numFmtId="0" fontId="27" fillId="0" borderId="0" xfId="0" applyFont="1"/>
    <xf numFmtId="0" fontId="27" fillId="0" borderId="22" xfId="0" applyFont="1" applyFill="1" applyBorder="1" applyAlignment="1">
      <alignment horizontal="left" vertical="center"/>
    </xf>
    <xf numFmtId="0" fontId="27" fillId="0" borderId="0" xfId="0" applyFont="1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NumberFormat="1" applyBorder="1" applyAlignment="1"/>
    <xf numFmtId="0" fontId="16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0" fillId="0" borderId="1" xfId="0" applyFont="1" applyFill="1" applyBorder="1" applyAlignment="1">
      <alignment horizontal="center" vertical="center" wrapText="1"/>
    </xf>
    <xf numFmtId="0" fontId="4" fillId="0" borderId="23" xfId="0" applyFont="1" applyBorder="1" applyAlignment="1"/>
    <xf numFmtId="0" fontId="4" fillId="0" borderId="0" xfId="0" applyFont="1" applyBorder="1" applyAlignment="1"/>
    <xf numFmtId="0" fontId="4" fillId="0" borderId="26" xfId="0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/>
    <xf numFmtId="14" fontId="18" fillId="0" borderId="1" xfId="0" applyNumberFormat="1" applyFont="1" applyBorder="1"/>
    <xf numFmtId="0" fontId="18" fillId="0" borderId="1" xfId="0" applyFont="1" applyBorder="1" applyAlignment="1">
      <alignment horizontal="left"/>
    </xf>
    <xf numFmtId="0" fontId="18" fillId="0" borderId="1" xfId="0" applyNumberFormat="1" applyFont="1" applyBorder="1"/>
    <xf numFmtId="0" fontId="28" fillId="0" borderId="0" xfId="0" applyFont="1"/>
    <xf numFmtId="0" fontId="29" fillId="0" borderId="0" xfId="0" applyFont="1"/>
    <xf numFmtId="0" fontId="18" fillId="0" borderId="1" xfId="0" applyFont="1" applyBorder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14" fillId="5" borderId="27" xfId="0" applyFont="1" applyFill="1" applyBorder="1" applyAlignment="1">
      <alignment horizontal="center" wrapText="1"/>
    </xf>
    <xf numFmtId="0" fontId="15" fillId="0" borderId="28" xfId="0" applyFont="1" applyBorder="1" applyAlignment="1">
      <alignment horizontal="center"/>
    </xf>
    <xf numFmtId="0" fontId="30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31" fillId="0" borderId="0" xfId="0" quotePrefix="1" applyFont="1"/>
    <xf numFmtId="0" fontId="33" fillId="0" borderId="0" xfId="0" applyFont="1"/>
    <xf numFmtId="0" fontId="34" fillId="0" borderId="0" xfId="0" applyFont="1"/>
    <xf numFmtId="0" fontId="34" fillId="0" borderId="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/>
    <xf numFmtId="0" fontId="34" fillId="0" borderId="1" xfId="0" quotePrefix="1" applyFont="1" applyBorder="1"/>
    <xf numFmtId="0" fontId="34" fillId="0" borderId="1" xfId="0" applyFont="1" applyBorder="1" applyAlignment="1">
      <alignment horizontal="center"/>
    </xf>
    <xf numFmtId="0" fontId="35" fillId="0" borderId="0" xfId="0" applyFont="1"/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5" fillId="0" borderId="1" xfId="0" applyFont="1" applyBorder="1"/>
    <xf numFmtId="0" fontId="34" fillId="0" borderId="0" xfId="0" applyFont="1" applyAlignment="1">
      <alignment horizontal="right"/>
    </xf>
    <xf numFmtId="0" fontId="36" fillId="0" borderId="0" xfId="0" quotePrefix="1" applyFont="1"/>
    <xf numFmtId="0" fontId="36" fillId="0" borderId="0" xfId="0" applyFont="1"/>
    <xf numFmtId="0" fontId="36" fillId="0" borderId="0" xfId="0" quotePrefix="1" applyFont="1" applyFill="1" applyBorder="1"/>
    <xf numFmtId="0" fontId="0" fillId="0" borderId="0" xfId="0" applyBorder="1" applyAlignment="1">
      <alignment horizontal="center" vertical="center" wrapText="1"/>
    </xf>
    <xf numFmtId="0" fontId="0" fillId="0" borderId="0" xfId="0" applyAlignment="1"/>
    <xf numFmtId="0" fontId="1" fillId="0" borderId="0" xfId="2"/>
    <xf numFmtId="0" fontId="37" fillId="0" borderId="0" xfId="2" applyFont="1"/>
    <xf numFmtId="0" fontId="1" fillId="0" borderId="0" xfId="2" quotePrefix="1"/>
    <xf numFmtId="0" fontId="1" fillId="0" borderId="1" xfId="2" applyBorder="1"/>
    <xf numFmtId="43" fontId="0" fillId="0" borderId="1" xfId="3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43" fontId="3" fillId="0" borderId="0" xfId="3" applyFont="1" applyAlignment="1">
      <alignment horizontal="center"/>
    </xf>
    <xf numFmtId="43" fontId="8" fillId="0" borderId="9" xfId="3" applyFont="1" applyBorder="1" applyAlignment="1">
      <alignment horizontal="center" vertical="center" wrapText="1"/>
    </xf>
    <xf numFmtId="43" fontId="3" fillId="0" borderId="1" xfId="3" applyFont="1" applyBorder="1" applyAlignment="1">
      <alignment horizontal="center" vertical="center"/>
    </xf>
    <xf numFmtId="43" fontId="25" fillId="0" borderId="0" xfId="3" applyFont="1" applyAlignment="1">
      <alignment horizontal="center"/>
    </xf>
    <xf numFmtId="43" fontId="26" fillId="0" borderId="0" xfId="3" applyFont="1" applyAlignment="1">
      <alignment horizontal="center"/>
    </xf>
    <xf numFmtId="43" fontId="25" fillId="0" borderId="0" xfId="3" quotePrefix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8" fillId="0" borderId="9" xfId="3" applyNumberFormat="1" applyFont="1" applyBorder="1" applyAlignment="1">
      <alignment horizontal="center" vertical="center" wrapText="1"/>
    </xf>
    <xf numFmtId="43" fontId="3" fillId="0" borderId="11" xfId="0" applyNumberFormat="1" applyFont="1" applyBorder="1" applyAlignment="1">
      <alignment horizontal="left"/>
    </xf>
    <xf numFmtId="0" fontId="0" fillId="0" borderId="0" xfId="0" applyNumberFormat="1"/>
    <xf numFmtId="0" fontId="4" fillId="0" borderId="1" xfId="0" applyNumberFormat="1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0" borderId="23" xfId="3" applyNumberFormat="1" applyFont="1" applyBorder="1" applyAlignment="1"/>
    <xf numFmtId="0" fontId="4" fillId="0" borderId="0" xfId="3" applyNumberFormat="1" applyFont="1" applyBorder="1" applyAlignment="1"/>
    <xf numFmtId="0" fontId="0" fillId="0" borderId="0" xfId="3" applyNumberFormat="1" applyFont="1"/>
    <xf numFmtId="0" fontId="4" fillId="0" borderId="1" xfId="0" applyNumberFormat="1" applyFont="1" applyBorder="1" applyAlignment="1"/>
    <xf numFmtId="0" fontId="0" fillId="0" borderId="3" xfId="0" applyFont="1" applyFill="1" applyBorder="1"/>
    <xf numFmtId="0" fontId="24" fillId="0" borderId="0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0" xfId="0" applyNumberFormat="1"/>
    <xf numFmtId="9" fontId="0" fillId="2" borderId="1" xfId="0" applyNumberFormat="1" applyFill="1" applyBorder="1"/>
    <xf numFmtId="0" fontId="40" fillId="0" borderId="0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39" fillId="0" borderId="0" xfId="0" applyFont="1" applyFill="1"/>
    <xf numFmtId="0" fontId="0" fillId="0" borderId="1" xfId="0" applyNumberFormat="1" applyBorder="1"/>
    <xf numFmtId="0" fontId="0" fillId="0" borderId="1" xfId="3" applyNumberFormat="1" applyFont="1" applyBorder="1"/>
    <xf numFmtId="0" fontId="17" fillId="0" borderId="1" xfId="0" applyFont="1" applyBorder="1"/>
    <xf numFmtId="9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3" fillId="0" borderId="31" xfId="0" applyFont="1" applyBorder="1"/>
    <xf numFmtId="0" fontId="3" fillId="0" borderId="31" xfId="0" applyFont="1" applyBorder="1" applyAlignment="1">
      <alignment horizontal="center" vertical="center"/>
    </xf>
    <xf numFmtId="43" fontId="3" fillId="0" borderId="31" xfId="3" applyFont="1" applyBorder="1" applyAlignment="1">
      <alignment horizontal="center" vertical="center"/>
    </xf>
    <xf numFmtId="43" fontId="3" fillId="0" borderId="30" xfId="0" applyNumberFormat="1" applyFont="1" applyBorder="1" applyAlignment="1">
      <alignment horizontal="left"/>
    </xf>
    <xf numFmtId="43" fontId="3" fillId="0" borderId="1" xfId="3" applyNumberFormat="1" applyFont="1" applyBorder="1" applyAlignment="1">
      <alignment horizontal="center"/>
    </xf>
    <xf numFmtId="43" fontId="3" fillId="0" borderId="32" xfId="3" applyNumberFormat="1" applyFont="1" applyBorder="1" applyAlignment="1">
      <alignment horizontal="center"/>
    </xf>
    <xf numFmtId="43" fontId="3" fillId="0" borderId="4" xfId="3" applyNumberFormat="1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0" fillId="0" borderId="1" xfId="3" applyNumberFormat="1" applyFont="1" applyBorder="1" applyAlignment="1">
      <alignment horizontal="right"/>
    </xf>
    <xf numFmtId="41" fontId="0" fillId="0" borderId="1" xfId="4" applyFont="1" applyBorder="1" applyAlignment="1"/>
    <xf numFmtId="41" fontId="0" fillId="0" borderId="1" xfId="0" applyNumberFormat="1" applyBorder="1" applyAlignment="1"/>
    <xf numFmtId="41" fontId="4" fillId="0" borderId="1" xfId="0" applyNumberFormat="1" applyFont="1" applyBorder="1" applyAlignment="1"/>
    <xf numFmtId="165" fontId="0" fillId="0" borderId="1" xfId="0" applyNumberFormat="1" applyBorder="1" applyAlignment="1"/>
    <xf numFmtId="41" fontId="0" fillId="0" borderId="1" xfId="4" applyFont="1" applyBorder="1"/>
    <xf numFmtId="41" fontId="0" fillId="0" borderId="1" xfId="0" applyNumberFormat="1" applyBorder="1"/>
    <xf numFmtId="0" fontId="1" fillId="6" borderId="1" xfId="2" applyFill="1" applyBorder="1"/>
    <xf numFmtId="0" fontId="1" fillId="7" borderId="1" xfId="2" applyFill="1" applyBorder="1"/>
    <xf numFmtId="9" fontId="1" fillId="7" borderId="1" xfId="2" applyNumberFormat="1" applyFill="1" applyBorder="1"/>
    <xf numFmtId="41" fontId="1" fillId="0" borderId="1" xfId="4" applyFont="1" applyBorder="1"/>
    <xf numFmtId="41" fontId="11" fillId="0" borderId="17" xfId="4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41" fontId="1" fillId="0" borderId="1" xfId="4" applyFont="1" applyBorder="1" applyAlignment="1">
      <alignment horizontal="right"/>
    </xf>
    <xf numFmtId="41" fontId="1" fillId="0" borderId="1" xfId="4" applyNumberFormat="1" applyFont="1" applyBorder="1"/>
    <xf numFmtId="9" fontId="1" fillId="0" borderId="1" xfId="2" applyNumberFormat="1" applyBorder="1" applyAlignment="1">
      <alignment horizontal="right"/>
    </xf>
    <xf numFmtId="0" fontId="41" fillId="0" borderId="0" xfId="0" applyFont="1"/>
    <xf numFmtId="1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34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0" xfId="0" applyFont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justify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" xfId="0" applyFont="1" applyBorder="1" applyAlignment="1"/>
    <xf numFmtId="0" fontId="16" fillId="0" borderId="1" xfId="0" applyFont="1" applyFill="1" applyBorder="1" applyAlignment="1">
      <alignment horizontal="center" wrapText="1"/>
    </xf>
    <xf numFmtId="0" fontId="16" fillId="0" borderId="24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4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21" xfId="0" applyFont="1" applyBorder="1"/>
    <xf numFmtId="0" fontId="35" fillId="0" borderId="29" xfId="0" applyFont="1" applyBorder="1" applyAlignment="1">
      <alignment horizontal="center"/>
    </xf>
  </cellXfs>
  <cellStyles count="5">
    <cellStyle name="Comma" xfId="3" builtinId="3"/>
    <cellStyle name="Comma [0]" xfId="4" builtinId="6"/>
    <cellStyle name="Normal" xfId="0" builtinId="0"/>
    <cellStyle name="Normal 4" xfId="2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136073</xdr:colOff>
      <xdr:row>4</xdr:row>
      <xdr:rowOff>149677</xdr:rowOff>
    </xdr:from>
    <xdr:to>
      <xdr:col>14</xdr:col>
      <xdr:colOff>80656</xdr:colOff>
      <xdr:row>35</xdr:row>
      <xdr:rowOff>106868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E1E62A3-9167-4F04-A7DE-7483C71E0F4B}"/>
            </a:ext>
          </a:extLst>
        </xdr:cNvPr>
        <xdr:cNvGrpSpPr/>
      </xdr:nvGrpSpPr>
      <xdr:grpSpPr>
        <a:xfrm>
          <a:off x="847273" y="860877"/>
          <a:ext cx="9190183" cy="5468991"/>
          <a:chOff x="748394" y="802820"/>
          <a:chExt cx="7904762" cy="5019048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5C33C32-33C6-48C7-AE74-C47543F9B9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48394" y="802820"/>
            <a:ext cx="7904762" cy="5019048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83A07B9C-A77D-4240-96BD-1DA7059432DA}"/>
              </a:ext>
            </a:extLst>
          </xdr:cNvPr>
          <xdr:cNvSpPr txBox="1"/>
        </xdr:nvSpPr>
        <xdr:spPr>
          <a:xfrm>
            <a:off x="3678663" y="1059938"/>
            <a:ext cx="3405804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2000" b="1">
                <a:solidFill>
                  <a:srgbClr val="FF0000"/>
                </a:solidFill>
              </a:rPr>
              <a:t>Soạn</a:t>
            </a:r>
            <a:r>
              <a:rPr lang="en-US" sz="2000" b="1" baseline="0">
                <a:solidFill>
                  <a:srgbClr val="FF0000"/>
                </a:solidFill>
              </a:rPr>
              <a:t> thảo bảng tính theo mẫu</a:t>
            </a:r>
            <a:endParaRPr lang="en-US" sz="2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"/>
  <sheetViews>
    <sheetView topLeftCell="A5" zoomScale="176" workbookViewId="0">
      <selection activeCell="H29" sqref="H29"/>
    </sheetView>
  </sheetViews>
  <sheetFormatPr baseColWidth="10" defaultColWidth="9.1640625" defaultRowHeight="13"/>
  <cols>
    <col min="1" max="1" width="5.6640625" style="125" customWidth="1"/>
    <col min="2" max="2" width="21.5" style="125" bestFit="1" customWidth="1"/>
    <col min="3" max="16384" width="9.1640625" style="125"/>
  </cols>
  <sheetData>
    <row r="1" spans="2:7" ht="13.5" customHeight="1">
      <c r="B1" s="72" t="s">
        <v>195</v>
      </c>
      <c r="C1" s="125" t="s">
        <v>513</v>
      </c>
    </row>
    <row r="2" spans="2:7">
      <c r="B2" s="72" t="s">
        <v>514</v>
      </c>
      <c r="C2" s="125" t="s">
        <v>515</v>
      </c>
    </row>
    <row r="3" spans="2:7">
      <c r="B3" s="72" t="s">
        <v>516</v>
      </c>
      <c r="C3" s="125" t="s">
        <v>517</v>
      </c>
      <c r="G3" s="126" t="s">
        <v>518</v>
      </c>
    </row>
    <row r="4" spans="2:7">
      <c r="B4" s="72" t="s">
        <v>519</v>
      </c>
      <c r="C4" s="125" t="s">
        <v>520</v>
      </c>
      <c r="G4" s="126" t="s">
        <v>521</v>
      </c>
    </row>
    <row r="5" spans="2:7">
      <c r="B5" s="72" t="s">
        <v>522</v>
      </c>
      <c r="C5" s="125" t="s">
        <v>523</v>
      </c>
      <c r="G5" s="126" t="s">
        <v>524</v>
      </c>
    </row>
    <row r="6" spans="2:7">
      <c r="B6" s="72" t="s">
        <v>525</v>
      </c>
      <c r="D6" s="125" t="s">
        <v>526</v>
      </c>
      <c r="G6" s="126" t="s">
        <v>527</v>
      </c>
    </row>
    <row r="7" spans="2:7">
      <c r="B7" s="72" t="s">
        <v>528</v>
      </c>
      <c r="D7" s="125" t="s">
        <v>529</v>
      </c>
    </row>
    <row r="8" spans="2:7">
      <c r="B8" s="72" t="s">
        <v>530</v>
      </c>
      <c r="C8" s="125" t="s">
        <v>531</v>
      </c>
    </row>
    <row r="9" spans="2:7">
      <c r="B9" s="72" t="s">
        <v>532</v>
      </c>
      <c r="C9" s="125" t="s">
        <v>533</v>
      </c>
    </row>
    <row r="10" spans="2:7">
      <c r="B10" s="21" t="s">
        <v>601</v>
      </c>
      <c r="C10" s="127" t="s">
        <v>602</v>
      </c>
    </row>
    <row r="11" spans="2:7">
      <c r="B11" s="72" t="s">
        <v>534</v>
      </c>
      <c r="C11" s="125" t="s">
        <v>535</v>
      </c>
    </row>
    <row r="12" spans="2:7">
      <c r="B12" s="72" t="s">
        <v>536</v>
      </c>
      <c r="C12" s="125" t="s">
        <v>537</v>
      </c>
    </row>
    <row r="13" spans="2:7">
      <c r="B13" s="72" t="s">
        <v>538</v>
      </c>
      <c r="C13" s="127" t="s">
        <v>661</v>
      </c>
    </row>
    <row r="14" spans="2:7">
      <c r="B14" s="72" t="s">
        <v>539</v>
      </c>
      <c r="C14" s="125" t="s">
        <v>540</v>
      </c>
    </row>
    <row r="15" spans="2:7">
      <c r="B15" s="72" t="s">
        <v>541</v>
      </c>
      <c r="C15" s="125" t="s">
        <v>542</v>
      </c>
      <c r="G15" s="128" t="s">
        <v>543</v>
      </c>
    </row>
    <row r="16" spans="2:7">
      <c r="B16" s="72" t="s">
        <v>544</v>
      </c>
      <c r="C16" s="125" t="s">
        <v>545</v>
      </c>
      <c r="G16" s="126" t="s">
        <v>546</v>
      </c>
    </row>
    <row r="17" spans="2:7">
      <c r="B17" s="72" t="s">
        <v>547</v>
      </c>
      <c r="C17" s="125" t="s">
        <v>548</v>
      </c>
      <c r="G17" s="126" t="s">
        <v>549</v>
      </c>
    </row>
    <row r="18" spans="2:7">
      <c r="B18" s="72" t="s">
        <v>550</v>
      </c>
      <c r="C18" s="125" t="s">
        <v>551</v>
      </c>
      <c r="G18" s="126" t="s">
        <v>552</v>
      </c>
    </row>
    <row r="19" spans="2:7">
      <c r="B19" s="72" t="s">
        <v>567</v>
      </c>
      <c r="C19" s="127" t="s">
        <v>568</v>
      </c>
      <c r="G19" s="126" t="s">
        <v>554</v>
      </c>
    </row>
    <row r="20" spans="2:7">
      <c r="B20" s="72" t="s">
        <v>352</v>
      </c>
      <c r="C20" s="125" t="s">
        <v>553</v>
      </c>
      <c r="G20" s="126" t="s">
        <v>557</v>
      </c>
    </row>
    <row r="21" spans="2:7">
      <c r="B21" s="72" t="s">
        <v>555</v>
      </c>
      <c r="C21" s="125" t="s">
        <v>556</v>
      </c>
    </row>
    <row r="22" spans="2:7">
      <c r="B22" s="72" t="s">
        <v>558</v>
      </c>
      <c r="C22" s="125" t="s">
        <v>559</v>
      </c>
    </row>
    <row r="23" spans="2:7">
      <c r="B23" s="72" t="s">
        <v>569</v>
      </c>
      <c r="C23" s="125" t="s">
        <v>560</v>
      </c>
    </row>
    <row r="24" spans="2:7">
      <c r="B24" s="72" t="s">
        <v>563</v>
      </c>
      <c r="C24" s="125" t="s">
        <v>564</v>
      </c>
    </row>
    <row r="25" spans="2:7" hidden="1">
      <c r="B25" s="72" t="s">
        <v>565</v>
      </c>
      <c r="C25" s="125" t="s">
        <v>566</v>
      </c>
    </row>
    <row r="26" spans="2:7">
      <c r="B26" s="72" t="s">
        <v>561</v>
      </c>
      <c r="C26" s="125" t="s">
        <v>562</v>
      </c>
    </row>
    <row r="27" spans="2:7">
      <c r="B27" s="21" t="s">
        <v>565</v>
      </c>
      <c r="C27" s="127" t="s">
        <v>660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"/>
  <sheetViews>
    <sheetView zoomScale="50" zoomScaleNormal="70" workbookViewId="0">
      <selection sqref="A1:XFD1048576"/>
    </sheetView>
  </sheetViews>
  <sheetFormatPr baseColWidth="10" defaultColWidth="9.1640625" defaultRowHeight="13"/>
  <cols>
    <col min="1" max="16384" width="9.1640625" style="178"/>
  </cols>
  <sheetData>
    <row r="3" spans="1:1">
      <c r="A3" s="17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17"/>
  <sheetViews>
    <sheetView zoomScale="156" workbookViewId="0">
      <selection activeCell="I3" sqref="I3"/>
    </sheetView>
  </sheetViews>
  <sheetFormatPr baseColWidth="10" defaultColWidth="8.83203125" defaultRowHeight="13"/>
  <cols>
    <col min="1" max="1" width="9.5" customWidth="1"/>
    <col min="2" max="2" width="15.5" customWidth="1"/>
    <col min="8" max="8" width="9.6640625" customWidth="1"/>
  </cols>
  <sheetData>
    <row r="1" spans="1:8" ht="16">
      <c r="B1" s="218" t="s">
        <v>380</v>
      </c>
      <c r="C1" s="219"/>
      <c r="D1" s="219"/>
      <c r="E1" s="219"/>
      <c r="F1" s="219"/>
      <c r="G1" s="219"/>
      <c r="H1" s="219"/>
    </row>
    <row r="2" spans="1:8" ht="28">
      <c r="A2" s="2" t="s">
        <v>4</v>
      </c>
      <c r="B2" s="3" t="s">
        <v>1</v>
      </c>
      <c r="C2" s="2" t="s">
        <v>10</v>
      </c>
      <c r="D2" s="2" t="s">
        <v>9</v>
      </c>
      <c r="E2" s="2" t="s">
        <v>8</v>
      </c>
      <c r="F2" s="3" t="s">
        <v>5</v>
      </c>
      <c r="G2" s="2" t="s">
        <v>7</v>
      </c>
      <c r="H2" s="2" t="s">
        <v>6</v>
      </c>
    </row>
    <row r="3" spans="1:8">
      <c r="A3" s="4" t="s">
        <v>29</v>
      </c>
      <c r="B3" s="4" t="s">
        <v>19</v>
      </c>
      <c r="C3" s="4">
        <v>40</v>
      </c>
      <c r="D3" s="4">
        <v>200</v>
      </c>
      <c r="E3" s="4">
        <f>C3*D3</f>
        <v>8000</v>
      </c>
      <c r="F3" s="4">
        <f>E3*5%</f>
        <v>400</v>
      </c>
      <c r="G3" s="4">
        <f>E3*1.12%</f>
        <v>89.600000000000009</v>
      </c>
      <c r="H3" s="4">
        <f>E3+F3+G3</f>
        <v>8489.6</v>
      </c>
    </row>
    <row r="4" spans="1:8">
      <c r="A4" s="4" t="s">
        <v>16</v>
      </c>
      <c r="B4" s="4" t="s">
        <v>20</v>
      </c>
      <c r="C4" s="4">
        <v>46</v>
      </c>
      <c r="D4" s="4">
        <v>120</v>
      </c>
      <c r="E4" s="4">
        <f t="shared" ref="E4:E12" si="0">C4*D4</f>
        <v>5520</v>
      </c>
      <c r="F4" s="4">
        <f t="shared" ref="F4:F12" si="1">E4*5%</f>
        <v>276</v>
      </c>
      <c r="G4" s="4">
        <f t="shared" ref="G4:G12" si="2">E4*1.12%</f>
        <v>61.824000000000012</v>
      </c>
      <c r="H4" s="4">
        <f t="shared" ref="H4:H12" si="3">E4+F4+G4</f>
        <v>5857.8239999999996</v>
      </c>
    </row>
    <row r="5" spans="1:8">
      <c r="A5" s="4" t="s">
        <v>17</v>
      </c>
      <c r="B5" s="4" t="s">
        <v>21</v>
      </c>
      <c r="C5" s="4">
        <v>72</v>
      </c>
      <c r="D5" s="4">
        <v>220</v>
      </c>
      <c r="E5" s="4">
        <f t="shared" si="0"/>
        <v>15840</v>
      </c>
      <c r="F5" s="4">
        <f t="shared" si="1"/>
        <v>792</v>
      </c>
      <c r="G5" s="4">
        <f t="shared" si="2"/>
        <v>177.40800000000002</v>
      </c>
      <c r="H5" s="4">
        <f t="shared" si="3"/>
        <v>16809.407999999999</v>
      </c>
    </row>
    <row r="6" spans="1:8">
      <c r="A6" s="4" t="s">
        <v>18</v>
      </c>
      <c r="B6" s="4" t="s">
        <v>22</v>
      </c>
      <c r="C6" s="4">
        <v>26</v>
      </c>
      <c r="D6" s="4">
        <v>1800</v>
      </c>
      <c r="E6" s="4">
        <f t="shared" si="0"/>
        <v>46800</v>
      </c>
      <c r="F6" s="4">
        <f t="shared" si="1"/>
        <v>2340</v>
      </c>
      <c r="G6" s="4">
        <f t="shared" si="2"/>
        <v>524.16000000000008</v>
      </c>
      <c r="H6" s="4">
        <f t="shared" si="3"/>
        <v>49664.160000000003</v>
      </c>
    </row>
    <row r="7" spans="1:8">
      <c r="A7" s="4" t="s">
        <v>11</v>
      </c>
      <c r="B7" s="4" t="s">
        <v>23</v>
      </c>
      <c r="C7" s="4">
        <v>12</v>
      </c>
      <c r="D7" s="4">
        <v>260</v>
      </c>
      <c r="E7" s="4">
        <f t="shared" si="0"/>
        <v>3120</v>
      </c>
      <c r="F7" s="4">
        <f t="shared" si="1"/>
        <v>156</v>
      </c>
      <c r="G7" s="4">
        <f t="shared" si="2"/>
        <v>34.944000000000003</v>
      </c>
      <c r="H7" s="4">
        <f t="shared" si="3"/>
        <v>3310.944</v>
      </c>
    </row>
    <row r="8" spans="1:8">
      <c r="A8" s="4" t="s">
        <v>12</v>
      </c>
      <c r="B8" s="4" t="s">
        <v>24</v>
      </c>
      <c r="C8" s="4">
        <v>48</v>
      </c>
      <c r="D8" s="4">
        <v>250</v>
      </c>
      <c r="E8" s="4">
        <f t="shared" si="0"/>
        <v>12000</v>
      </c>
      <c r="F8" s="4">
        <f t="shared" si="1"/>
        <v>600</v>
      </c>
      <c r="G8" s="4">
        <f t="shared" si="2"/>
        <v>134.4</v>
      </c>
      <c r="H8" s="4">
        <f t="shared" si="3"/>
        <v>12734.4</v>
      </c>
    </row>
    <row r="9" spans="1:8">
      <c r="A9" s="4" t="s">
        <v>13</v>
      </c>
      <c r="B9" s="4" t="s">
        <v>25</v>
      </c>
      <c r="C9" s="4">
        <v>30</v>
      </c>
      <c r="D9" s="4">
        <v>125</v>
      </c>
      <c r="E9" s="4">
        <f t="shared" si="0"/>
        <v>3750</v>
      </c>
      <c r="F9" s="4">
        <f t="shared" si="1"/>
        <v>187.5</v>
      </c>
      <c r="G9" s="4">
        <f t="shared" si="2"/>
        <v>42.000000000000007</v>
      </c>
      <c r="H9" s="4">
        <f t="shared" si="3"/>
        <v>3979.5</v>
      </c>
    </row>
    <row r="10" spans="1:8">
      <c r="A10" s="4" t="s">
        <v>14</v>
      </c>
      <c r="B10" s="4" t="s">
        <v>26</v>
      </c>
      <c r="C10" s="4">
        <v>5</v>
      </c>
      <c r="D10" s="4">
        <v>3200</v>
      </c>
      <c r="E10" s="4">
        <f t="shared" si="0"/>
        <v>16000</v>
      </c>
      <c r="F10" s="4">
        <f t="shared" si="1"/>
        <v>800</v>
      </c>
      <c r="G10" s="4">
        <f t="shared" si="2"/>
        <v>179.20000000000002</v>
      </c>
      <c r="H10" s="4">
        <f t="shared" si="3"/>
        <v>16979.2</v>
      </c>
    </row>
    <row r="11" spans="1:8">
      <c r="A11" s="4" t="s">
        <v>15</v>
      </c>
      <c r="B11" s="4" t="s">
        <v>27</v>
      </c>
      <c r="C11" s="4">
        <v>7</v>
      </c>
      <c r="D11" s="4">
        <v>2000</v>
      </c>
      <c r="E11" s="4">
        <f t="shared" si="0"/>
        <v>14000</v>
      </c>
      <c r="F11" s="4">
        <f t="shared" si="1"/>
        <v>700</v>
      </c>
      <c r="G11" s="4">
        <f t="shared" si="2"/>
        <v>156.80000000000001</v>
      </c>
      <c r="H11" s="4">
        <f t="shared" si="3"/>
        <v>14856.8</v>
      </c>
    </row>
    <row r="12" spans="1:8">
      <c r="A12" s="4" t="s">
        <v>30</v>
      </c>
      <c r="B12" s="4" t="s">
        <v>28</v>
      </c>
      <c r="C12" s="4">
        <v>9</v>
      </c>
      <c r="D12" s="4">
        <v>2400</v>
      </c>
      <c r="E12" s="4">
        <f t="shared" si="0"/>
        <v>21600</v>
      </c>
      <c r="F12" s="4">
        <f t="shared" si="1"/>
        <v>1080</v>
      </c>
      <c r="G12" s="4">
        <f t="shared" si="2"/>
        <v>241.92000000000004</v>
      </c>
      <c r="H12" s="4">
        <f t="shared" si="3"/>
        <v>22921.919999999998</v>
      </c>
    </row>
    <row r="13" spans="1:8">
      <c r="A13" s="169" t="s">
        <v>659</v>
      </c>
      <c r="B13" s="82" t="s">
        <v>433</v>
      </c>
    </row>
    <row r="14" spans="1:8">
      <c r="B14" s="82" t="s">
        <v>434</v>
      </c>
    </row>
    <row r="15" spans="1:8">
      <c r="B15" s="82" t="s">
        <v>435</v>
      </c>
    </row>
    <row r="16" spans="1:8">
      <c r="B16" s="82" t="s">
        <v>436</v>
      </c>
    </row>
    <row r="17" spans="2:2">
      <c r="B17" s="83"/>
    </row>
  </sheetData>
  <mergeCells count="1">
    <mergeCell ref="B1:H1"/>
  </mergeCells>
  <phoneticPr fontId="6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23"/>
  <sheetViews>
    <sheetView zoomScale="150" workbookViewId="0">
      <selection activeCell="H16" sqref="H16"/>
    </sheetView>
  </sheetViews>
  <sheetFormatPr baseColWidth="10" defaultColWidth="8.83203125" defaultRowHeight="13"/>
  <cols>
    <col min="1" max="1" width="6.5" customWidth="1"/>
    <col min="2" max="2" width="12.83203125" customWidth="1"/>
    <col min="3" max="3" width="10.33203125" customWidth="1"/>
  </cols>
  <sheetData>
    <row r="1" spans="1:8">
      <c r="A1" s="223" t="s">
        <v>664</v>
      </c>
      <c r="B1" s="223"/>
      <c r="C1" s="223"/>
      <c r="D1" s="223"/>
      <c r="E1" s="223"/>
      <c r="F1" s="223"/>
      <c r="G1" s="223"/>
      <c r="H1" s="223"/>
    </row>
    <row r="2" spans="1:8">
      <c r="G2" t="s">
        <v>665</v>
      </c>
      <c r="H2" s="174">
        <v>0.1</v>
      </c>
    </row>
    <row r="3" spans="1:8" ht="28">
      <c r="A3" s="172" t="s">
        <v>0</v>
      </c>
      <c r="B3" s="172" t="s">
        <v>1</v>
      </c>
      <c r="C3" s="172" t="s">
        <v>9</v>
      </c>
      <c r="D3" s="171" t="s">
        <v>31</v>
      </c>
      <c r="E3" s="171" t="s">
        <v>8</v>
      </c>
      <c r="F3" s="19" t="s">
        <v>669</v>
      </c>
      <c r="G3" s="172" t="s">
        <v>666</v>
      </c>
      <c r="H3" s="172" t="s">
        <v>3</v>
      </c>
    </row>
    <row r="4" spans="1:8">
      <c r="A4" s="3">
        <v>1</v>
      </c>
      <c r="B4" s="4" t="s">
        <v>32</v>
      </c>
      <c r="C4" s="4">
        <v>200</v>
      </c>
      <c r="D4" s="4">
        <v>120</v>
      </c>
      <c r="E4" s="4">
        <f>C4*D4</f>
        <v>24000</v>
      </c>
      <c r="F4" s="4">
        <f>E4*10%</f>
        <v>2400</v>
      </c>
      <c r="G4" s="4">
        <f>E4+F4</f>
        <v>26400</v>
      </c>
      <c r="H4" s="183">
        <f>G4/G16</f>
        <v>0.43391791719399747</v>
      </c>
    </row>
    <row r="5" spans="1:8">
      <c r="A5" s="3">
        <v>2</v>
      </c>
      <c r="B5" s="4" t="s">
        <v>33</v>
      </c>
      <c r="C5" s="4">
        <v>25</v>
      </c>
      <c r="D5" s="4">
        <v>140</v>
      </c>
      <c r="E5" s="4">
        <f t="shared" ref="E5:E15" si="0">C5*D5</f>
        <v>3500</v>
      </c>
      <c r="F5" s="4">
        <f t="shared" ref="F5:F14" si="1">E5*10%</f>
        <v>350</v>
      </c>
      <c r="G5" s="4">
        <f t="shared" ref="G5:G14" si="2">E5+F5</f>
        <v>3850</v>
      </c>
      <c r="H5" s="183">
        <f>G5/G16</f>
        <v>6.3279696257457968E-2</v>
      </c>
    </row>
    <row r="6" spans="1:8">
      <c r="A6" s="3">
        <v>3</v>
      </c>
      <c r="B6" s="4" t="s">
        <v>34</v>
      </c>
      <c r="C6" s="4">
        <v>60</v>
      </c>
      <c r="D6" s="4">
        <v>60</v>
      </c>
      <c r="E6" s="4">
        <f t="shared" si="0"/>
        <v>3600</v>
      </c>
      <c r="F6" s="4">
        <f t="shared" si="1"/>
        <v>360</v>
      </c>
      <c r="G6" s="4">
        <f t="shared" si="2"/>
        <v>3960</v>
      </c>
      <c r="H6" s="183">
        <f>G6/G16</f>
        <v>6.5087687579099621E-2</v>
      </c>
    </row>
    <row r="7" spans="1:8">
      <c r="A7" s="3">
        <v>4</v>
      </c>
      <c r="B7" s="4" t="s">
        <v>35</v>
      </c>
      <c r="C7" s="4">
        <v>120</v>
      </c>
      <c r="D7" s="4">
        <v>70</v>
      </c>
      <c r="E7" s="4">
        <f t="shared" si="0"/>
        <v>8400</v>
      </c>
      <c r="F7" s="4">
        <f t="shared" si="1"/>
        <v>840</v>
      </c>
      <c r="G7" s="4">
        <f t="shared" si="2"/>
        <v>9240</v>
      </c>
      <c r="H7" s="183">
        <f>G7/G16</f>
        <v>0.1518712710178991</v>
      </c>
    </row>
    <row r="8" spans="1:8">
      <c r="A8" s="3">
        <v>5</v>
      </c>
      <c r="B8" s="4" t="s">
        <v>36</v>
      </c>
      <c r="C8" s="4">
        <v>150</v>
      </c>
      <c r="D8" s="4">
        <v>30</v>
      </c>
      <c r="E8" s="4">
        <f t="shared" si="0"/>
        <v>4500</v>
      </c>
      <c r="F8" s="4">
        <f t="shared" si="1"/>
        <v>450</v>
      </c>
      <c r="G8" s="4">
        <f t="shared" si="2"/>
        <v>4950</v>
      </c>
      <c r="H8" s="183">
        <f>G8/G16</f>
        <v>8.1359609473874522E-2</v>
      </c>
    </row>
    <row r="9" spans="1:8">
      <c r="A9" s="3">
        <v>6</v>
      </c>
      <c r="B9" s="4" t="s">
        <v>37</v>
      </c>
      <c r="C9" s="4">
        <v>30</v>
      </c>
      <c r="D9" s="4">
        <v>20</v>
      </c>
      <c r="E9" s="4">
        <f t="shared" si="0"/>
        <v>600</v>
      </c>
      <c r="F9" s="4">
        <f t="shared" si="1"/>
        <v>60</v>
      </c>
      <c r="G9" s="4">
        <f t="shared" si="2"/>
        <v>660</v>
      </c>
      <c r="H9" s="183">
        <f>G9/G16</f>
        <v>1.0847947929849937E-2</v>
      </c>
    </row>
    <row r="10" spans="1:8">
      <c r="A10" s="3">
        <v>7</v>
      </c>
      <c r="B10" s="4" t="s">
        <v>38</v>
      </c>
      <c r="C10" s="4">
        <v>40</v>
      </c>
      <c r="D10" s="4">
        <v>100</v>
      </c>
      <c r="E10" s="4">
        <f t="shared" si="0"/>
        <v>4000</v>
      </c>
      <c r="F10" s="4">
        <f t="shared" si="1"/>
        <v>400</v>
      </c>
      <c r="G10" s="4">
        <f t="shared" si="2"/>
        <v>4400</v>
      </c>
      <c r="H10" s="183">
        <f>G10/G16</f>
        <v>7.2319652865666245E-2</v>
      </c>
    </row>
    <row r="11" spans="1:8">
      <c r="A11" s="3">
        <v>8</v>
      </c>
      <c r="B11" s="4" t="s">
        <v>39</v>
      </c>
      <c r="C11" s="4">
        <v>20</v>
      </c>
      <c r="D11" s="4">
        <v>150</v>
      </c>
      <c r="E11" s="4">
        <f t="shared" si="0"/>
        <v>3000</v>
      </c>
      <c r="F11" s="4">
        <f t="shared" si="1"/>
        <v>300</v>
      </c>
      <c r="G11" s="4">
        <f t="shared" si="2"/>
        <v>3300</v>
      </c>
      <c r="H11" s="183">
        <f>G11/G16</f>
        <v>5.4239739649249684E-2</v>
      </c>
    </row>
    <row r="12" spans="1:8">
      <c r="A12" s="3">
        <v>9</v>
      </c>
      <c r="B12" s="4" t="s">
        <v>40</v>
      </c>
      <c r="C12" s="4">
        <v>30</v>
      </c>
      <c r="D12" s="4">
        <v>50</v>
      </c>
      <c r="E12" s="4">
        <f t="shared" si="0"/>
        <v>1500</v>
      </c>
      <c r="F12" s="4">
        <f t="shared" si="1"/>
        <v>150</v>
      </c>
      <c r="G12" s="4">
        <f t="shared" si="2"/>
        <v>1650</v>
      </c>
      <c r="H12" s="183">
        <f>G12/G16</f>
        <v>2.7119869824624842E-2</v>
      </c>
    </row>
    <row r="13" spans="1:8">
      <c r="A13" s="3">
        <v>10</v>
      </c>
      <c r="B13" s="4" t="s">
        <v>41</v>
      </c>
      <c r="C13" s="4">
        <v>35</v>
      </c>
      <c r="D13" s="4">
        <v>30</v>
      </c>
      <c r="E13" s="4">
        <f t="shared" si="0"/>
        <v>1050</v>
      </c>
      <c r="F13" s="4">
        <f t="shared" si="1"/>
        <v>105</v>
      </c>
      <c r="G13" s="4">
        <f t="shared" si="2"/>
        <v>1155</v>
      </c>
      <c r="H13" s="183">
        <f>G13/G16</f>
        <v>1.8983908877237388E-2</v>
      </c>
    </row>
    <row r="14" spans="1:8">
      <c r="A14" s="3">
        <v>11</v>
      </c>
      <c r="B14" s="4" t="s">
        <v>42</v>
      </c>
      <c r="C14" s="4">
        <v>40</v>
      </c>
      <c r="D14" s="4">
        <v>10</v>
      </c>
      <c r="E14" s="4">
        <f t="shared" si="0"/>
        <v>400</v>
      </c>
      <c r="F14" s="4">
        <f t="shared" si="1"/>
        <v>40</v>
      </c>
      <c r="G14" s="4">
        <f t="shared" si="2"/>
        <v>440</v>
      </c>
      <c r="H14" s="183">
        <f>G14/G16</f>
        <v>7.2319652865666245E-3</v>
      </c>
    </row>
    <row r="15" spans="1:8">
      <c r="A15" s="3">
        <v>12</v>
      </c>
      <c r="B15" s="4" t="s">
        <v>43</v>
      </c>
      <c r="C15" s="4">
        <v>95</v>
      </c>
      <c r="D15" s="4">
        <v>8</v>
      </c>
      <c r="E15" s="4">
        <f t="shared" si="0"/>
        <v>760</v>
      </c>
      <c r="F15" s="4">
        <f>E15*10%</f>
        <v>76</v>
      </c>
      <c r="G15" s="4">
        <f>E15+F15</f>
        <v>836</v>
      </c>
      <c r="H15" s="183">
        <f>G15/G16</f>
        <v>1.3740734044476587E-2</v>
      </c>
    </row>
    <row r="16" spans="1:8">
      <c r="A16" s="220" t="s">
        <v>44</v>
      </c>
      <c r="B16" s="221"/>
      <c r="C16" s="221"/>
      <c r="D16" s="221"/>
      <c r="E16" s="221"/>
      <c r="F16" s="222"/>
      <c r="G16" s="4">
        <f>G4+G5+G6+G7+G8+G9+G10+G11+G12+G13+G14+G15</f>
        <v>60841</v>
      </c>
      <c r="H16" s="180"/>
    </row>
    <row r="17" spans="2:5">
      <c r="B17" s="175" t="s">
        <v>667</v>
      </c>
      <c r="C17" s="173"/>
    </row>
    <row r="18" spans="2:5">
      <c r="B18" s="83" t="s">
        <v>668</v>
      </c>
      <c r="C18" s="83"/>
      <c r="D18" s="83"/>
      <c r="E18" s="83"/>
    </row>
    <row r="19" spans="2:5">
      <c r="B19" s="83" t="s">
        <v>670</v>
      </c>
      <c r="C19" s="83"/>
      <c r="D19" s="83"/>
      <c r="E19" s="83"/>
    </row>
    <row r="20" spans="2:5">
      <c r="B20" s="170" t="s">
        <v>671</v>
      </c>
      <c r="C20" s="83"/>
      <c r="D20" s="83"/>
      <c r="E20" s="83"/>
    </row>
    <row r="21" spans="2:5">
      <c r="B21" s="83" t="s">
        <v>672</v>
      </c>
    </row>
    <row r="22" spans="2:5">
      <c r="B22" s="170" t="s">
        <v>675</v>
      </c>
    </row>
    <row r="23" spans="2:5">
      <c r="B23" s="170" t="s">
        <v>676</v>
      </c>
    </row>
  </sheetData>
  <mergeCells count="2">
    <mergeCell ref="A16:F16"/>
    <mergeCell ref="A1:H1"/>
  </mergeCells>
  <phoneticPr fontId="6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20"/>
  <sheetViews>
    <sheetView zoomScale="178" zoomScaleNormal="85" workbookViewId="0">
      <selection activeCell="I18" sqref="I18"/>
    </sheetView>
  </sheetViews>
  <sheetFormatPr baseColWidth="10" defaultColWidth="8.83203125" defaultRowHeight="13"/>
  <cols>
    <col min="1" max="1" width="6.1640625" customWidth="1"/>
    <col min="2" max="2" width="18.83203125" customWidth="1"/>
    <col min="3" max="3" width="9.83203125" bestFit="1" customWidth="1"/>
    <col min="6" max="6" width="12.1640625" customWidth="1"/>
    <col min="7" max="7" width="11.5" bestFit="1" customWidth="1"/>
    <col min="8" max="8" width="10.5" bestFit="1" customWidth="1"/>
    <col min="9" max="9" width="11.5" bestFit="1" customWidth="1"/>
  </cols>
  <sheetData>
    <row r="1" spans="1:9" ht="16">
      <c r="B1" s="218" t="s">
        <v>73</v>
      </c>
      <c r="C1" s="219"/>
      <c r="D1" s="219"/>
      <c r="E1" s="219"/>
      <c r="F1" s="219"/>
      <c r="G1" s="219"/>
    </row>
    <row r="2" spans="1:9" ht="42">
      <c r="A2" s="3" t="s">
        <v>45</v>
      </c>
      <c r="B2" s="3" t="s">
        <v>46</v>
      </c>
      <c r="C2" s="3" t="s">
        <v>47</v>
      </c>
      <c r="D2" s="2" t="s">
        <v>48</v>
      </c>
      <c r="E2" s="3" t="s">
        <v>49</v>
      </c>
      <c r="F2" s="2" t="s">
        <v>680</v>
      </c>
      <c r="G2" s="150" t="s">
        <v>50</v>
      </c>
      <c r="H2" s="150" t="s">
        <v>51</v>
      </c>
      <c r="I2" s="150" t="s">
        <v>72</v>
      </c>
    </row>
    <row r="3" spans="1:9">
      <c r="A3" s="4">
        <v>1</v>
      </c>
      <c r="B3" s="4" t="s">
        <v>52</v>
      </c>
      <c r="C3" s="4" t="s">
        <v>64</v>
      </c>
      <c r="D3" s="4">
        <v>3</v>
      </c>
      <c r="E3" s="4">
        <v>4</v>
      </c>
      <c r="F3" s="4">
        <f>D3*E3*4</f>
        <v>48</v>
      </c>
      <c r="G3" s="181">
        <f>C16*F3</f>
        <v>240000</v>
      </c>
      <c r="H3" s="181">
        <f>G3*C17</f>
        <v>2880</v>
      </c>
      <c r="I3" s="181">
        <f>G3+H3</f>
        <v>242880</v>
      </c>
    </row>
    <row r="4" spans="1:9">
      <c r="A4" s="4">
        <v>2</v>
      </c>
      <c r="B4" s="4" t="s">
        <v>53</v>
      </c>
      <c r="C4" s="4" t="s">
        <v>65</v>
      </c>
      <c r="D4" s="4">
        <v>3</v>
      </c>
      <c r="E4" s="4">
        <v>5</v>
      </c>
      <c r="F4" s="4">
        <f t="shared" ref="F4:F14" si="0">D4*E4*4</f>
        <v>60</v>
      </c>
      <c r="G4" s="181">
        <f>F4*C16</f>
        <v>300000</v>
      </c>
      <c r="H4" s="181">
        <f>G4*C17</f>
        <v>3600</v>
      </c>
      <c r="I4" s="181">
        <f>G4+H4</f>
        <v>303600</v>
      </c>
    </row>
    <row r="5" spans="1:9">
      <c r="A5" s="4">
        <v>3</v>
      </c>
      <c r="B5" s="4" t="s">
        <v>54</v>
      </c>
      <c r="C5" s="4" t="s">
        <v>66</v>
      </c>
      <c r="D5" s="4">
        <v>4</v>
      </c>
      <c r="E5" s="4">
        <v>5</v>
      </c>
      <c r="F5" s="4">
        <f t="shared" si="0"/>
        <v>80</v>
      </c>
      <c r="G5" s="181">
        <f>F5*C16</f>
        <v>400000</v>
      </c>
      <c r="H5" s="181">
        <f>G5*C17</f>
        <v>4800</v>
      </c>
      <c r="I5" s="181">
        <f t="shared" ref="I5:I14" si="1">G5+H5</f>
        <v>404800</v>
      </c>
    </row>
    <row r="6" spans="1:9">
      <c r="A6" s="4">
        <v>4</v>
      </c>
      <c r="B6" s="4" t="s">
        <v>55</v>
      </c>
      <c r="C6" s="4" t="s">
        <v>67</v>
      </c>
      <c r="D6" s="4">
        <v>4</v>
      </c>
      <c r="E6" s="4">
        <v>2</v>
      </c>
      <c r="F6" s="4">
        <f t="shared" si="0"/>
        <v>32</v>
      </c>
      <c r="G6" s="181">
        <f>F6*C16</f>
        <v>160000</v>
      </c>
      <c r="H6" s="181">
        <f>G6*C17</f>
        <v>1920</v>
      </c>
      <c r="I6" s="181">
        <f t="shared" si="1"/>
        <v>161920</v>
      </c>
    </row>
    <row r="7" spans="1:9">
      <c r="A7" s="4">
        <v>5</v>
      </c>
      <c r="B7" s="4" t="s">
        <v>56</v>
      </c>
      <c r="C7" s="4" t="s">
        <v>64</v>
      </c>
      <c r="D7" s="4">
        <v>2</v>
      </c>
      <c r="E7" s="4">
        <v>6</v>
      </c>
      <c r="F7" s="4">
        <f t="shared" si="0"/>
        <v>48</v>
      </c>
      <c r="G7" s="181">
        <f>F7*C16</f>
        <v>240000</v>
      </c>
      <c r="H7" s="181">
        <f>G7*C17</f>
        <v>2880</v>
      </c>
      <c r="I7" s="181">
        <f t="shared" si="1"/>
        <v>242880</v>
      </c>
    </row>
    <row r="8" spans="1:9">
      <c r="A8" s="4">
        <v>6</v>
      </c>
      <c r="B8" s="4" t="s">
        <v>57</v>
      </c>
      <c r="C8" s="4" t="s">
        <v>68</v>
      </c>
      <c r="D8" s="4">
        <v>3</v>
      </c>
      <c r="E8" s="4">
        <v>6</v>
      </c>
      <c r="F8" s="4">
        <f t="shared" si="0"/>
        <v>72</v>
      </c>
      <c r="G8" s="181">
        <f>F8*C16</f>
        <v>360000</v>
      </c>
      <c r="H8" s="181">
        <f>G8*C17</f>
        <v>4320</v>
      </c>
      <c r="I8" s="181">
        <f t="shared" si="1"/>
        <v>364320</v>
      </c>
    </row>
    <row r="9" spans="1:9">
      <c r="A9" s="4">
        <v>7</v>
      </c>
      <c r="B9" s="4" t="s">
        <v>58</v>
      </c>
      <c r="C9" s="4" t="s">
        <v>69</v>
      </c>
      <c r="D9" s="4">
        <v>5</v>
      </c>
      <c r="E9" s="4">
        <v>3</v>
      </c>
      <c r="F9" s="4">
        <f t="shared" si="0"/>
        <v>60</v>
      </c>
      <c r="G9" s="181">
        <f>F9*C16</f>
        <v>300000</v>
      </c>
      <c r="H9" s="181">
        <f>G9*C17</f>
        <v>3600</v>
      </c>
      <c r="I9" s="181">
        <f t="shared" si="1"/>
        <v>303600</v>
      </c>
    </row>
    <row r="10" spans="1:9">
      <c r="A10" s="4">
        <v>8</v>
      </c>
      <c r="B10" s="4" t="s">
        <v>59</v>
      </c>
      <c r="C10" s="4" t="s">
        <v>65</v>
      </c>
      <c r="D10" s="4">
        <v>2</v>
      </c>
      <c r="E10" s="4">
        <v>4</v>
      </c>
      <c r="F10" s="4">
        <f t="shared" si="0"/>
        <v>32</v>
      </c>
      <c r="G10" s="181">
        <f>F10*C16</f>
        <v>160000</v>
      </c>
      <c r="H10" s="181">
        <f>G10*C17</f>
        <v>1920</v>
      </c>
      <c r="I10" s="181">
        <f t="shared" si="1"/>
        <v>161920</v>
      </c>
    </row>
    <row r="11" spans="1:9">
      <c r="A11" s="4">
        <v>9</v>
      </c>
      <c r="B11" s="4" t="s">
        <v>60</v>
      </c>
      <c r="C11" s="4" t="s">
        <v>70</v>
      </c>
      <c r="D11" s="4">
        <v>3</v>
      </c>
      <c r="E11" s="4">
        <v>8</v>
      </c>
      <c r="F11" s="4">
        <f t="shared" si="0"/>
        <v>96</v>
      </c>
      <c r="G11" s="181">
        <f>F11*C16</f>
        <v>480000</v>
      </c>
      <c r="H11" s="181">
        <f>G11*C17</f>
        <v>5760</v>
      </c>
      <c r="I11" s="181">
        <f t="shared" si="1"/>
        <v>485760</v>
      </c>
    </row>
    <row r="12" spans="1:9">
      <c r="A12" s="4">
        <v>10</v>
      </c>
      <c r="B12" s="4" t="s">
        <v>61</v>
      </c>
      <c r="C12" s="4" t="s">
        <v>64</v>
      </c>
      <c r="D12" s="4">
        <v>6</v>
      </c>
      <c r="E12" s="4">
        <v>7</v>
      </c>
      <c r="F12" s="4">
        <f t="shared" si="0"/>
        <v>168</v>
      </c>
      <c r="G12" s="181">
        <f>F12*C16</f>
        <v>840000</v>
      </c>
      <c r="H12" s="181">
        <f>G12*C17</f>
        <v>10080</v>
      </c>
      <c r="I12" s="181">
        <f t="shared" si="1"/>
        <v>850080</v>
      </c>
    </row>
    <row r="13" spans="1:9">
      <c r="A13" s="4">
        <v>11</v>
      </c>
      <c r="B13" s="4" t="s">
        <v>62</v>
      </c>
      <c r="C13" s="4" t="s">
        <v>70</v>
      </c>
      <c r="D13" s="4">
        <v>4</v>
      </c>
      <c r="E13" s="4">
        <v>6</v>
      </c>
      <c r="F13" s="4">
        <f t="shared" si="0"/>
        <v>96</v>
      </c>
      <c r="G13" s="181">
        <f>F13*C16</f>
        <v>480000</v>
      </c>
      <c r="H13" s="181">
        <f>G13*C17</f>
        <v>5760</v>
      </c>
      <c r="I13" s="181">
        <f t="shared" si="1"/>
        <v>485760</v>
      </c>
    </row>
    <row r="14" spans="1:9">
      <c r="A14" s="4">
        <v>12</v>
      </c>
      <c r="B14" s="4" t="s">
        <v>63</v>
      </c>
      <c r="C14" s="4" t="s">
        <v>70</v>
      </c>
      <c r="D14" s="4">
        <v>3</v>
      </c>
      <c r="E14" s="4">
        <v>3</v>
      </c>
      <c r="F14" s="4">
        <f t="shared" si="0"/>
        <v>36</v>
      </c>
      <c r="G14" s="181">
        <f>F14*C16</f>
        <v>180000</v>
      </c>
      <c r="H14" s="181">
        <f>G14*C17</f>
        <v>2160</v>
      </c>
      <c r="I14" s="181">
        <f t="shared" si="1"/>
        <v>182160</v>
      </c>
    </row>
    <row r="16" spans="1:9">
      <c r="B16" s="4" t="s">
        <v>682</v>
      </c>
      <c r="C16" s="4">
        <v>5000</v>
      </c>
      <c r="D16" s="83"/>
      <c r="E16" s="83" t="s">
        <v>681</v>
      </c>
      <c r="F16" s="83"/>
      <c r="G16" s="83"/>
    </row>
    <row r="17" spans="2:7">
      <c r="B17" s="4" t="s">
        <v>71</v>
      </c>
      <c r="C17" s="5">
        <v>1.2E-2</v>
      </c>
      <c r="D17" s="83"/>
      <c r="E17" s="83" t="s">
        <v>437</v>
      </c>
      <c r="F17" s="83"/>
      <c r="G17" s="83"/>
    </row>
    <row r="18" spans="2:7">
      <c r="D18" s="83"/>
      <c r="E18" s="83" t="s">
        <v>438</v>
      </c>
      <c r="F18" s="83"/>
      <c r="G18" s="83"/>
    </row>
    <row r="19" spans="2:7">
      <c r="D19" s="83"/>
      <c r="E19" s="83" t="s">
        <v>439</v>
      </c>
      <c r="F19" s="83"/>
      <c r="G19" s="83"/>
    </row>
    <row r="20" spans="2:7">
      <c r="E20" s="83" t="s">
        <v>673</v>
      </c>
    </row>
  </sheetData>
  <mergeCells count="1">
    <mergeCell ref="B1:G1"/>
  </mergeCells>
  <phoneticPr fontId="6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C000"/>
  </sheetPr>
  <dimension ref="A1:K24"/>
  <sheetViews>
    <sheetView zoomScale="161" zoomScaleNormal="115" workbookViewId="0">
      <selection activeCell="J3" sqref="J3"/>
    </sheetView>
  </sheetViews>
  <sheetFormatPr baseColWidth="10" defaultColWidth="9.1640625" defaultRowHeight="13"/>
  <cols>
    <col min="1" max="1" width="9.1640625" style="72"/>
    <col min="2" max="2" width="18.1640625" style="72" customWidth="1"/>
    <col min="3" max="3" width="8.6640625" style="72" customWidth="1"/>
    <col min="4" max="7" width="9.1640625" style="72"/>
    <col min="8" max="8" width="13.33203125" style="72" customWidth="1"/>
    <col min="9" max="9" width="10" style="72" customWidth="1"/>
    <col min="10" max="10" width="9.1640625" style="72"/>
    <col min="11" max="11" width="15.5" style="72" customWidth="1"/>
    <col min="12" max="12" width="16.33203125" style="72" customWidth="1"/>
    <col min="13" max="16384" width="9.1640625" style="72"/>
  </cols>
  <sheetData>
    <row r="1" spans="1:11" ht="21.75" customHeight="1">
      <c r="A1" s="225" t="s">
        <v>45</v>
      </c>
      <c r="B1" s="226" t="s">
        <v>46</v>
      </c>
      <c r="C1" s="226" t="s">
        <v>74</v>
      </c>
      <c r="D1" s="226" t="s">
        <v>75</v>
      </c>
      <c r="E1" s="226"/>
      <c r="F1" s="226"/>
      <c r="G1" s="227" t="s">
        <v>462</v>
      </c>
      <c r="H1" s="226" t="s">
        <v>79</v>
      </c>
      <c r="I1" s="226" t="s">
        <v>413</v>
      </c>
      <c r="J1" s="224" t="s">
        <v>463</v>
      </c>
    </row>
    <row r="2" spans="1:11" ht="24" customHeight="1">
      <c r="A2" s="225"/>
      <c r="B2" s="226"/>
      <c r="C2" s="226"/>
      <c r="D2" s="76" t="s">
        <v>76</v>
      </c>
      <c r="E2" s="76" t="s">
        <v>77</v>
      </c>
      <c r="F2" s="76" t="s">
        <v>78</v>
      </c>
      <c r="G2" s="228"/>
      <c r="H2" s="226"/>
      <c r="I2" s="226"/>
      <c r="J2" s="224"/>
    </row>
    <row r="3" spans="1:11">
      <c r="A3" s="71">
        <v>1</v>
      </c>
      <c r="B3" s="71" t="s">
        <v>80</v>
      </c>
      <c r="C3" s="71">
        <v>1984</v>
      </c>
      <c r="D3" s="71">
        <v>9</v>
      </c>
      <c r="E3" s="71">
        <v>8.5</v>
      </c>
      <c r="F3" s="71">
        <v>5</v>
      </c>
      <c r="G3" s="71">
        <f>D3+E3+F3</f>
        <v>22.5</v>
      </c>
      <c r="H3" s="73">
        <f>G3/3</f>
        <v>7.5</v>
      </c>
      <c r="I3" s="71">
        <f>RANK(H3,H3:H17,)</f>
        <v>4</v>
      </c>
      <c r="J3" s="184" t="str">
        <f>IF(H3&gt;=5,"Lên lớp","Lưu ban")</f>
        <v>Lên lớp</v>
      </c>
      <c r="K3" s="74"/>
    </row>
    <row r="4" spans="1:11">
      <c r="A4" s="71">
        <v>2</v>
      </c>
      <c r="B4" s="71" t="s">
        <v>81</v>
      </c>
      <c r="C4" s="71">
        <v>1985</v>
      </c>
      <c r="D4" s="71">
        <v>9</v>
      </c>
      <c r="E4" s="71">
        <v>6.5</v>
      </c>
      <c r="F4" s="71">
        <v>7.5</v>
      </c>
      <c r="G4" s="71">
        <f t="shared" ref="G4:G17" si="0">D4+E4+F4</f>
        <v>23</v>
      </c>
      <c r="H4" s="73">
        <f t="shared" ref="H4:H17" si="1">G4/3</f>
        <v>7.666666666666667</v>
      </c>
      <c r="I4" s="71">
        <f t="shared" ref="I4:I16" si="2">RANK(H4,H4:H18,)</f>
        <v>3</v>
      </c>
      <c r="J4" s="184" t="str">
        <f t="shared" ref="J4:J17" si="3">IF(H4&gt;=5,"Lên lớp","Lưu ban")</f>
        <v>Lên lớp</v>
      </c>
    </row>
    <row r="5" spans="1:11">
      <c r="A5" s="71">
        <v>3</v>
      </c>
      <c r="B5" s="71" t="s">
        <v>82</v>
      </c>
      <c r="C5" s="71">
        <v>1984</v>
      </c>
      <c r="D5" s="71">
        <v>7</v>
      </c>
      <c r="E5" s="71">
        <v>7</v>
      </c>
      <c r="F5" s="71">
        <v>4</v>
      </c>
      <c r="G5" s="71">
        <f t="shared" si="0"/>
        <v>18</v>
      </c>
      <c r="H5" s="73">
        <f t="shared" si="1"/>
        <v>6</v>
      </c>
      <c r="I5" s="71">
        <f>RANK(H5,H3:H17,)</f>
        <v>10</v>
      </c>
      <c r="J5" s="184" t="str">
        <f t="shared" si="3"/>
        <v>Lên lớp</v>
      </c>
    </row>
    <row r="6" spans="1:11">
      <c r="A6" s="71">
        <v>4</v>
      </c>
      <c r="B6" s="71" t="s">
        <v>83</v>
      </c>
      <c r="C6" s="71">
        <v>1985</v>
      </c>
      <c r="D6" s="71">
        <v>10</v>
      </c>
      <c r="E6" s="71">
        <v>4</v>
      </c>
      <c r="F6" s="71">
        <v>6.5</v>
      </c>
      <c r="G6" s="71">
        <f t="shared" si="0"/>
        <v>20.5</v>
      </c>
      <c r="H6" s="73">
        <f t="shared" si="1"/>
        <v>6.833333333333333</v>
      </c>
      <c r="I6" s="71">
        <f>RANK(H6,H3:H17,)</f>
        <v>6</v>
      </c>
      <c r="J6" s="184" t="str">
        <f t="shared" si="3"/>
        <v>Lên lớp</v>
      </c>
    </row>
    <row r="7" spans="1:11">
      <c r="A7" s="71">
        <v>5</v>
      </c>
      <c r="B7" s="71" t="s">
        <v>84</v>
      </c>
      <c r="C7" s="71">
        <v>1984</v>
      </c>
      <c r="D7" s="71">
        <v>6</v>
      </c>
      <c r="E7" s="71">
        <v>9</v>
      </c>
      <c r="F7" s="71">
        <v>8.5</v>
      </c>
      <c r="G7" s="71">
        <f t="shared" si="0"/>
        <v>23.5</v>
      </c>
      <c r="H7" s="73">
        <f t="shared" si="1"/>
        <v>7.833333333333333</v>
      </c>
      <c r="I7" s="71">
        <f>RANK(H7,H3:H17,)</f>
        <v>2</v>
      </c>
      <c r="J7" s="184" t="str">
        <f t="shared" si="3"/>
        <v>Lên lớp</v>
      </c>
    </row>
    <row r="8" spans="1:11">
      <c r="A8" s="71">
        <v>6</v>
      </c>
      <c r="B8" s="71" t="s">
        <v>85</v>
      </c>
      <c r="C8" s="71">
        <v>1985</v>
      </c>
      <c r="D8" s="71">
        <v>5</v>
      </c>
      <c r="E8" s="71">
        <v>6</v>
      </c>
      <c r="F8" s="71">
        <v>7.5</v>
      </c>
      <c r="G8" s="71">
        <f t="shared" si="0"/>
        <v>18.5</v>
      </c>
      <c r="H8" s="73">
        <f t="shared" si="1"/>
        <v>6.166666666666667</v>
      </c>
      <c r="I8" s="71">
        <f>RANK(H8,H3:H17,0)</f>
        <v>9</v>
      </c>
      <c r="J8" s="184" t="str">
        <f t="shared" si="3"/>
        <v>Lên lớp</v>
      </c>
    </row>
    <row r="9" spans="1:11">
      <c r="A9" s="71">
        <v>7</v>
      </c>
      <c r="B9" s="71" t="s">
        <v>86</v>
      </c>
      <c r="C9" s="71">
        <v>1984</v>
      </c>
      <c r="D9" s="71">
        <v>7</v>
      </c>
      <c r="E9" s="71">
        <v>4</v>
      </c>
      <c r="F9" s="71">
        <v>3</v>
      </c>
      <c r="G9" s="71">
        <f t="shared" si="0"/>
        <v>14</v>
      </c>
      <c r="H9" s="73">
        <f t="shared" si="1"/>
        <v>4.666666666666667</v>
      </c>
      <c r="I9" s="71">
        <f>RANK(H9,H3:H17,)</f>
        <v>15</v>
      </c>
      <c r="J9" s="184" t="str">
        <f t="shared" si="3"/>
        <v>Lưu ban</v>
      </c>
    </row>
    <row r="10" spans="1:11">
      <c r="A10" s="71">
        <v>8</v>
      </c>
      <c r="B10" s="71" t="s">
        <v>87</v>
      </c>
      <c r="C10" s="71">
        <v>1984</v>
      </c>
      <c r="D10" s="71">
        <v>6.5</v>
      </c>
      <c r="E10" s="71">
        <v>8.5</v>
      </c>
      <c r="F10" s="71">
        <v>0</v>
      </c>
      <c r="G10" s="71">
        <f t="shared" si="0"/>
        <v>15</v>
      </c>
      <c r="H10" s="73">
        <f t="shared" si="1"/>
        <v>5</v>
      </c>
      <c r="I10" s="71">
        <f>RANK(H10,H3:H17,)</f>
        <v>13</v>
      </c>
      <c r="J10" s="184" t="str">
        <f t="shared" si="3"/>
        <v>Lên lớp</v>
      </c>
    </row>
    <row r="11" spans="1:11">
      <c r="A11" s="71">
        <v>9</v>
      </c>
      <c r="B11" s="71" t="s">
        <v>88</v>
      </c>
      <c r="C11" s="71">
        <v>1985</v>
      </c>
      <c r="D11" s="71">
        <v>7</v>
      </c>
      <c r="E11" s="71">
        <v>6</v>
      </c>
      <c r="F11" s="71">
        <v>6.5</v>
      </c>
      <c r="G11" s="71">
        <f t="shared" si="0"/>
        <v>19.5</v>
      </c>
      <c r="H11" s="73">
        <f t="shared" si="1"/>
        <v>6.5</v>
      </c>
      <c r="I11" s="71">
        <f>RANK(H11,H3:H17,)</f>
        <v>8</v>
      </c>
      <c r="J11" s="184" t="str">
        <f t="shared" si="3"/>
        <v>Lên lớp</v>
      </c>
    </row>
    <row r="12" spans="1:11">
      <c r="A12" s="71">
        <v>10</v>
      </c>
      <c r="B12" s="71" t="s">
        <v>89</v>
      </c>
      <c r="C12" s="71">
        <v>1984</v>
      </c>
      <c r="D12" s="71">
        <v>8</v>
      </c>
      <c r="E12" s="71">
        <v>4</v>
      </c>
      <c r="F12" s="71">
        <v>2.5</v>
      </c>
      <c r="G12" s="71">
        <f t="shared" si="0"/>
        <v>14.5</v>
      </c>
      <c r="H12" s="73">
        <f t="shared" si="1"/>
        <v>4.833333333333333</v>
      </c>
      <c r="I12" s="71">
        <f>RANK(H12,H3:H17,)</f>
        <v>14</v>
      </c>
      <c r="J12" s="184" t="str">
        <f t="shared" si="3"/>
        <v>Lưu ban</v>
      </c>
    </row>
    <row r="13" spans="1:11">
      <c r="A13" s="71">
        <v>11</v>
      </c>
      <c r="B13" s="71" t="s">
        <v>90</v>
      </c>
      <c r="C13" s="71">
        <v>1984</v>
      </c>
      <c r="D13" s="71">
        <v>6</v>
      </c>
      <c r="E13" s="71">
        <v>9</v>
      </c>
      <c r="F13" s="71">
        <v>7</v>
      </c>
      <c r="G13" s="71">
        <f t="shared" si="0"/>
        <v>22</v>
      </c>
      <c r="H13" s="73">
        <f t="shared" si="1"/>
        <v>7.333333333333333</v>
      </c>
      <c r="I13" s="71">
        <f>RANK(H13,H3:H17,)</f>
        <v>5</v>
      </c>
      <c r="J13" s="184" t="str">
        <f t="shared" si="3"/>
        <v>Lên lớp</v>
      </c>
    </row>
    <row r="14" spans="1:11">
      <c r="A14" s="71">
        <v>12</v>
      </c>
      <c r="B14" s="71" t="s">
        <v>91</v>
      </c>
      <c r="C14" s="71">
        <v>1984</v>
      </c>
      <c r="D14" s="71">
        <v>5</v>
      </c>
      <c r="E14" s="71">
        <v>7.5</v>
      </c>
      <c r="F14" s="71">
        <v>5.5</v>
      </c>
      <c r="G14" s="71">
        <f t="shared" si="0"/>
        <v>18</v>
      </c>
      <c r="H14" s="73">
        <f t="shared" si="1"/>
        <v>6</v>
      </c>
      <c r="I14" s="71">
        <f>RANK(H14,H3:H17,)</f>
        <v>10</v>
      </c>
      <c r="J14" s="184" t="str">
        <f t="shared" si="3"/>
        <v>Lên lớp</v>
      </c>
    </row>
    <row r="15" spans="1:11">
      <c r="A15" s="71">
        <v>13</v>
      </c>
      <c r="B15" s="71" t="s">
        <v>92</v>
      </c>
      <c r="C15" s="71">
        <v>1984</v>
      </c>
      <c r="D15" s="71">
        <v>6.5</v>
      </c>
      <c r="E15" s="71">
        <v>3</v>
      </c>
      <c r="F15" s="71">
        <v>7</v>
      </c>
      <c r="G15" s="71">
        <f t="shared" si="0"/>
        <v>16.5</v>
      </c>
      <c r="H15" s="73">
        <f t="shared" si="1"/>
        <v>5.5</v>
      </c>
      <c r="I15" s="71">
        <f>RANK(H15,H3:H17,0)</f>
        <v>12</v>
      </c>
      <c r="J15" s="184" t="str">
        <f t="shared" si="3"/>
        <v>Lên lớp</v>
      </c>
    </row>
    <row r="16" spans="1:11">
      <c r="A16" s="71">
        <v>14</v>
      </c>
      <c r="B16" s="71" t="s">
        <v>93</v>
      </c>
      <c r="C16" s="71">
        <v>1985</v>
      </c>
      <c r="D16" s="71">
        <v>9.5</v>
      </c>
      <c r="E16" s="71">
        <v>8.5</v>
      </c>
      <c r="F16" s="71">
        <v>8</v>
      </c>
      <c r="G16" s="71">
        <f t="shared" si="0"/>
        <v>26</v>
      </c>
      <c r="H16" s="73">
        <f t="shared" si="1"/>
        <v>8.6666666666666661</v>
      </c>
      <c r="I16" s="71">
        <f t="shared" si="2"/>
        <v>1</v>
      </c>
      <c r="J16" s="184" t="str">
        <f t="shared" si="3"/>
        <v>Lên lớp</v>
      </c>
    </row>
    <row r="17" spans="1:10">
      <c r="A17" s="71">
        <v>15</v>
      </c>
      <c r="B17" s="71" t="s">
        <v>94</v>
      </c>
      <c r="C17" s="71">
        <v>1985</v>
      </c>
      <c r="D17" s="71">
        <v>5</v>
      </c>
      <c r="E17" s="71">
        <v>7</v>
      </c>
      <c r="F17" s="71">
        <v>8</v>
      </c>
      <c r="G17" s="71">
        <f t="shared" si="0"/>
        <v>20</v>
      </c>
      <c r="H17" s="73">
        <f t="shared" si="1"/>
        <v>6.666666666666667</v>
      </c>
      <c r="I17" s="71">
        <f>RANK(H17,H3:H17,)</f>
        <v>7</v>
      </c>
      <c r="J17" s="184" t="str">
        <f t="shared" si="3"/>
        <v>Lên lớp</v>
      </c>
    </row>
    <row r="19" spans="1:10">
      <c r="B19" s="71" t="s">
        <v>95</v>
      </c>
      <c r="C19" s="152">
        <f>MAX(H3:H17)</f>
        <v>8.6666666666666661</v>
      </c>
      <c r="E19" s="83" t="s">
        <v>464</v>
      </c>
    </row>
    <row r="20" spans="1:10">
      <c r="B20" s="71" t="s">
        <v>96</v>
      </c>
      <c r="C20" s="73">
        <f>MIN(H3:H17)</f>
        <v>4.666666666666667</v>
      </c>
      <c r="E20" s="83" t="s">
        <v>677</v>
      </c>
    </row>
    <row r="21" spans="1:10">
      <c r="B21" s="151" t="s">
        <v>663</v>
      </c>
      <c r="C21" s="73">
        <f>AVERAGE(H3:H17)</f>
        <v>6.4777777777777779</v>
      </c>
      <c r="E21" s="83" t="s">
        <v>440</v>
      </c>
    </row>
    <row r="22" spans="1:10">
      <c r="E22" s="170" t="s">
        <v>465</v>
      </c>
    </row>
    <row r="23" spans="1:10">
      <c r="E23" s="170" t="s">
        <v>662</v>
      </c>
    </row>
    <row r="24" spans="1:10">
      <c r="E24" s="170" t="s">
        <v>674</v>
      </c>
    </row>
  </sheetData>
  <mergeCells count="8">
    <mergeCell ref="J1:J2"/>
    <mergeCell ref="A1:A2"/>
    <mergeCell ref="D1:F1"/>
    <mergeCell ref="H1:H2"/>
    <mergeCell ref="I1:I2"/>
    <mergeCell ref="B1:B2"/>
    <mergeCell ref="C1:C2"/>
    <mergeCell ref="G1:G2"/>
  </mergeCells>
  <phoneticPr fontId="6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C000"/>
  </sheetPr>
  <dimension ref="A1:I23"/>
  <sheetViews>
    <sheetView zoomScale="125" zoomScaleNormal="100" workbookViewId="0">
      <selection activeCell="F4" sqref="F4"/>
    </sheetView>
  </sheetViews>
  <sheetFormatPr baseColWidth="10" defaultColWidth="9.1640625" defaultRowHeight="16"/>
  <cols>
    <col min="1" max="1" width="5" style="1" customWidth="1"/>
    <col min="2" max="2" width="20.33203125" style="17" customWidth="1"/>
    <col min="3" max="3" width="11" style="1" customWidth="1"/>
    <col min="4" max="4" width="7.5" style="1" customWidth="1"/>
    <col min="5" max="5" width="17.6640625" style="1" customWidth="1"/>
    <col min="6" max="6" width="9.1640625" style="1"/>
    <col min="7" max="7" width="16.33203125" style="1" customWidth="1"/>
    <col min="8" max="16384" width="9.1640625" style="1"/>
  </cols>
  <sheetData>
    <row r="1" spans="1:9">
      <c r="B1" s="229"/>
      <c r="C1" s="230"/>
      <c r="D1" s="230"/>
      <c r="E1" s="230"/>
      <c r="F1" s="230"/>
      <c r="G1" s="230"/>
    </row>
    <row r="2" spans="1:9" s="21" customFormat="1" ht="28">
      <c r="A2" s="18" t="s">
        <v>45</v>
      </c>
      <c r="B2" s="18" t="s">
        <v>46</v>
      </c>
      <c r="C2" s="19" t="s">
        <v>97</v>
      </c>
      <c r="D2" s="19" t="s">
        <v>98</v>
      </c>
      <c r="E2" s="18" t="s">
        <v>99</v>
      </c>
      <c r="F2" s="19" t="s">
        <v>100</v>
      </c>
      <c r="G2" s="20" t="s">
        <v>101</v>
      </c>
    </row>
    <row r="3" spans="1:9">
      <c r="A3" s="14">
        <v>1</v>
      </c>
      <c r="B3" s="16" t="s">
        <v>102</v>
      </c>
      <c r="C3" s="15">
        <v>500000</v>
      </c>
      <c r="D3" s="14">
        <v>26</v>
      </c>
      <c r="E3" s="15">
        <f>(D3-24)*50000</f>
        <v>100000</v>
      </c>
      <c r="F3" s="185" t="str">
        <f>IF(D3&gt;24,"A","B")</f>
        <v>A</v>
      </c>
      <c r="G3" s="15"/>
      <c r="I3" s="79"/>
    </row>
    <row r="4" spans="1:9">
      <c r="A4" s="14">
        <v>2</v>
      </c>
      <c r="B4" s="16" t="s">
        <v>103</v>
      </c>
      <c r="C4" s="15">
        <v>450000</v>
      </c>
      <c r="D4" s="14">
        <v>25</v>
      </c>
      <c r="E4" s="15">
        <f t="shared" ref="E4:E15" si="0">(D4-24)*50000</f>
        <v>50000</v>
      </c>
      <c r="F4" s="185" t="str" cm="1">
        <f t="array" ref="F4">IF(D4&gt;24,"A",D4&lt;'bài 7'!J)</f>
        <v>A</v>
      </c>
      <c r="G4" s="15"/>
    </row>
    <row r="5" spans="1:9">
      <c r="A5" s="14">
        <v>3</v>
      </c>
      <c r="B5" s="16" t="s">
        <v>104</v>
      </c>
      <c r="C5" s="15">
        <v>250000</v>
      </c>
      <c r="D5" s="14">
        <v>14</v>
      </c>
      <c r="E5" s="15">
        <v>0</v>
      </c>
      <c r="F5" s="185"/>
      <c r="G5" s="15"/>
    </row>
    <row r="6" spans="1:9">
      <c r="A6" s="14">
        <v>4</v>
      </c>
      <c r="B6" s="16" t="s">
        <v>105</v>
      </c>
      <c r="C6" s="15">
        <v>320000</v>
      </c>
      <c r="D6" s="14">
        <v>23</v>
      </c>
      <c r="E6" s="15">
        <v>0</v>
      </c>
      <c r="F6" s="185" t="str">
        <f t="shared" ref="F6:F17" si="1">IF(D6&gt;24,"A","B")</f>
        <v>B</v>
      </c>
      <c r="G6" s="182"/>
    </row>
    <row r="7" spans="1:9">
      <c r="A7" s="14">
        <v>5</v>
      </c>
      <c r="B7" s="16" t="s">
        <v>106</v>
      </c>
      <c r="C7" s="15">
        <v>220000</v>
      </c>
      <c r="D7" s="14">
        <v>26</v>
      </c>
      <c r="E7" s="15">
        <f t="shared" si="0"/>
        <v>100000</v>
      </c>
      <c r="F7" s="185" t="str">
        <f t="shared" si="1"/>
        <v>A</v>
      </c>
      <c r="G7" s="182"/>
    </row>
    <row r="8" spans="1:9">
      <c r="A8" s="14">
        <v>6</v>
      </c>
      <c r="B8" s="16" t="s">
        <v>107</v>
      </c>
      <c r="C8" s="15">
        <v>450000</v>
      </c>
      <c r="D8" s="14">
        <v>28</v>
      </c>
      <c r="E8" s="15">
        <f t="shared" si="0"/>
        <v>200000</v>
      </c>
      <c r="F8" s="185" t="str">
        <f t="shared" si="1"/>
        <v>A</v>
      </c>
      <c r="G8" s="182"/>
    </row>
    <row r="9" spans="1:9">
      <c r="A9" s="14">
        <v>7</v>
      </c>
      <c r="B9" s="16" t="s">
        <v>108</v>
      </c>
      <c r="C9" s="15">
        <v>380000</v>
      </c>
      <c r="D9" s="14">
        <v>21</v>
      </c>
      <c r="E9" s="15">
        <v>0</v>
      </c>
      <c r="F9" s="185" t="str">
        <f t="shared" si="1"/>
        <v>B</v>
      </c>
      <c r="G9" s="15"/>
    </row>
    <row r="10" spans="1:9">
      <c r="A10" s="14">
        <v>8</v>
      </c>
      <c r="B10" s="16" t="s">
        <v>109</v>
      </c>
      <c r="C10" s="15">
        <v>420000</v>
      </c>
      <c r="D10" s="14">
        <v>18</v>
      </c>
      <c r="E10" s="15">
        <v>0</v>
      </c>
      <c r="F10" s="185" t="str">
        <f t="shared" si="1"/>
        <v>B</v>
      </c>
      <c r="G10" s="15"/>
    </row>
    <row r="11" spans="1:9">
      <c r="A11" s="14">
        <v>9</v>
      </c>
      <c r="B11" s="16" t="s">
        <v>110</v>
      </c>
      <c r="C11" s="15">
        <v>450000</v>
      </c>
      <c r="D11" s="14">
        <v>20</v>
      </c>
      <c r="E11" s="15">
        <v>0</v>
      </c>
      <c r="F11" s="185" t="str">
        <f t="shared" si="1"/>
        <v>B</v>
      </c>
      <c r="G11" s="15"/>
    </row>
    <row r="12" spans="1:9">
      <c r="A12" s="14">
        <v>10</v>
      </c>
      <c r="B12" s="16" t="s">
        <v>111</v>
      </c>
      <c r="C12" s="15">
        <v>430000</v>
      </c>
      <c r="D12" s="14">
        <v>20</v>
      </c>
      <c r="E12" s="15">
        <v>0</v>
      </c>
      <c r="F12" s="185" t="str">
        <f t="shared" si="1"/>
        <v>B</v>
      </c>
      <c r="G12" s="15"/>
    </row>
    <row r="13" spans="1:9">
      <c r="A13" s="14">
        <v>11</v>
      </c>
      <c r="B13" s="16" t="s">
        <v>112</v>
      </c>
      <c r="C13" s="15">
        <v>340000</v>
      </c>
      <c r="D13" s="14">
        <v>26</v>
      </c>
      <c r="E13" s="15">
        <f t="shared" si="0"/>
        <v>100000</v>
      </c>
      <c r="F13" s="185" t="str">
        <f t="shared" si="1"/>
        <v>A</v>
      </c>
      <c r="G13" s="15"/>
    </row>
    <row r="14" spans="1:9">
      <c r="A14" s="14">
        <v>12</v>
      </c>
      <c r="B14" s="16" t="s">
        <v>113</v>
      </c>
      <c r="C14" s="15">
        <v>380000</v>
      </c>
      <c r="D14" s="14">
        <v>25</v>
      </c>
      <c r="E14" s="15">
        <f t="shared" si="0"/>
        <v>50000</v>
      </c>
      <c r="F14" s="185" t="str">
        <f t="shared" si="1"/>
        <v>A</v>
      </c>
      <c r="G14" s="15"/>
    </row>
    <row r="15" spans="1:9">
      <c r="A15" s="14">
        <v>13</v>
      </c>
      <c r="B15" s="16" t="s">
        <v>114</v>
      </c>
      <c r="C15" s="15">
        <v>270000</v>
      </c>
      <c r="D15" s="14">
        <v>24</v>
      </c>
      <c r="E15" s="15">
        <f t="shared" si="0"/>
        <v>0</v>
      </c>
      <c r="F15" s="185" t="str">
        <f t="shared" si="1"/>
        <v>B</v>
      </c>
      <c r="G15" s="15"/>
    </row>
    <row r="16" spans="1:9">
      <c r="A16" s="14">
        <v>14</v>
      </c>
      <c r="B16" s="16" t="s">
        <v>115</v>
      </c>
      <c r="C16" s="15">
        <v>190000</v>
      </c>
      <c r="D16" s="14">
        <v>23</v>
      </c>
      <c r="E16" s="15">
        <v>0</v>
      </c>
      <c r="F16" s="185" t="str">
        <f t="shared" si="1"/>
        <v>B</v>
      </c>
      <c r="G16" s="15"/>
    </row>
    <row r="17" spans="1:7">
      <c r="A17" s="14">
        <v>15</v>
      </c>
      <c r="B17" s="16" t="s">
        <v>116</v>
      </c>
      <c r="C17" s="15">
        <v>200000</v>
      </c>
      <c r="D17" s="14">
        <v>22</v>
      </c>
      <c r="E17" s="15">
        <v>0</v>
      </c>
      <c r="F17" s="185" t="str">
        <f t="shared" si="1"/>
        <v>B</v>
      </c>
      <c r="G17" s="15"/>
    </row>
    <row r="18" spans="1:7" ht="33">
      <c r="B18" s="77" t="s">
        <v>419</v>
      </c>
    </row>
    <row r="19" spans="1:7">
      <c r="B19" s="17" t="s">
        <v>99</v>
      </c>
      <c r="C19" s="78" t="s">
        <v>414</v>
      </c>
      <c r="D19" s="78"/>
      <c r="E19" s="78"/>
    </row>
    <row r="20" spans="1:7">
      <c r="B20" s="17" t="s">
        <v>415</v>
      </c>
      <c r="C20" s="78" t="s">
        <v>416</v>
      </c>
      <c r="D20" s="78"/>
      <c r="E20" s="78"/>
    </row>
    <row r="21" spans="1:7">
      <c r="C21" s="78" t="s">
        <v>417</v>
      </c>
      <c r="D21" s="78"/>
      <c r="E21" s="78"/>
    </row>
    <row r="22" spans="1:7">
      <c r="C22" s="78" t="s">
        <v>418</v>
      </c>
      <c r="D22" s="78"/>
      <c r="E22" s="78"/>
    </row>
    <row r="23" spans="1:7">
      <c r="C23" s="78"/>
      <c r="D23" s="78"/>
      <c r="E23" s="78"/>
    </row>
  </sheetData>
  <mergeCells count="1">
    <mergeCell ref="B1:G1"/>
  </mergeCells>
  <phoneticPr fontId="6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28"/>
  <sheetViews>
    <sheetView zoomScale="125" zoomScaleNormal="85" workbookViewId="0">
      <selection activeCell="K12" sqref="K12"/>
    </sheetView>
  </sheetViews>
  <sheetFormatPr baseColWidth="10" defaultColWidth="9.1640625" defaultRowHeight="16"/>
  <cols>
    <col min="1" max="1" width="5.1640625" style="1" customWidth="1"/>
    <col min="2" max="2" width="20.6640625" style="1" bestFit="1" customWidth="1"/>
    <col min="3" max="3" width="10.33203125" style="1" bestFit="1" customWidth="1"/>
    <col min="4" max="4" width="7.5" style="1" customWidth="1"/>
    <col min="5" max="5" width="7" style="1" customWidth="1"/>
    <col min="6" max="6" width="9" style="1" customWidth="1"/>
    <col min="7" max="7" width="7.5" style="31" customWidth="1"/>
    <col min="8" max="8" width="17.5" style="153" customWidth="1"/>
    <col min="9" max="9" width="10.6640625" style="31" customWidth="1"/>
    <col min="10" max="10" width="10.5" style="31" bestFit="1" customWidth="1"/>
    <col min="11" max="11" width="19.5" style="159" customWidth="1"/>
    <col min="12" max="12" width="18" style="31" customWidth="1"/>
    <col min="13" max="16384" width="9.1640625" style="1"/>
  </cols>
  <sheetData>
    <row r="1" spans="1:12" ht="17" thickBot="1"/>
    <row r="2" spans="1:12" ht="50.25" customHeight="1" thickTop="1">
      <c r="A2" s="28" t="s">
        <v>45</v>
      </c>
      <c r="B2" s="29" t="s">
        <v>135</v>
      </c>
      <c r="C2" s="30" t="s">
        <v>136</v>
      </c>
      <c r="D2" s="30" t="s">
        <v>137</v>
      </c>
      <c r="E2" s="29" t="s">
        <v>138</v>
      </c>
      <c r="F2" s="30" t="s">
        <v>98</v>
      </c>
      <c r="G2" s="32" t="s">
        <v>100</v>
      </c>
      <c r="H2" s="154" t="s">
        <v>457</v>
      </c>
      <c r="I2" s="32" t="s">
        <v>139</v>
      </c>
      <c r="J2" s="32" t="s">
        <v>99</v>
      </c>
      <c r="K2" s="160" t="s">
        <v>381</v>
      </c>
      <c r="L2" s="33" t="s">
        <v>72</v>
      </c>
    </row>
    <row r="3" spans="1:12">
      <c r="A3" s="23">
        <v>1</v>
      </c>
      <c r="B3" s="22" t="s">
        <v>140</v>
      </c>
      <c r="C3" s="14">
        <v>1</v>
      </c>
      <c r="D3" s="14">
        <v>1</v>
      </c>
      <c r="E3" s="15">
        <v>2.1</v>
      </c>
      <c r="F3" s="15">
        <v>21</v>
      </c>
      <c r="G3" s="14" t="str">
        <f>IF(F3&gt;=22,"A",IF(F3&lt;22,"B",IF(F3&lt;20,"C")))</f>
        <v>B</v>
      </c>
      <c r="H3" s="155">
        <f>E3*C15</f>
        <v>2205000</v>
      </c>
      <c r="I3" s="22">
        <f>SUM(IF(D3&gt;=2,"100000","0"),IF(C3=0,"70000","0"))</f>
        <v>0</v>
      </c>
      <c r="J3" s="209" t="str">
        <f>IF(G3="A","50000",IF(G3="B","0",IF(G3="C","-20000")))</f>
        <v>0</v>
      </c>
      <c r="K3" s="190">
        <v>400000</v>
      </c>
      <c r="L3" s="161">
        <f>H3+I3+J3-K3</f>
        <v>1805000</v>
      </c>
    </row>
    <row r="4" spans="1:12">
      <c r="A4" s="23">
        <v>2</v>
      </c>
      <c r="B4" s="22" t="s">
        <v>141</v>
      </c>
      <c r="C4" s="14">
        <v>1</v>
      </c>
      <c r="D4" s="14">
        <v>2</v>
      </c>
      <c r="E4" s="15">
        <v>1.92</v>
      </c>
      <c r="F4" s="15">
        <v>22</v>
      </c>
      <c r="G4" s="14" t="str">
        <f>IF(F4&gt;=22,"A",IF(F4&lt;22,"B",IF(F4&lt;20,"C")))</f>
        <v>A</v>
      </c>
      <c r="H4" s="155">
        <f>E4*C15</f>
        <v>2016000</v>
      </c>
      <c r="I4" s="22">
        <f t="shared" ref="I4:I14" si="0">SUM(IF(D4&gt;=2,"100000","0"),IF(C4=0,"70000","0"))</f>
        <v>100000</v>
      </c>
      <c r="J4" s="209" t="str">
        <f>IF(G4="A","50000",IF(G4="B","0",IF(G4="C","-20000")))</f>
        <v>50000</v>
      </c>
      <c r="K4" s="192">
        <v>400000</v>
      </c>
      <c r="L4" s="161">
        <f>H4+I4+J4-K4</f>
        <v>1766000</v>
      </c>
    </row>
    <row r="5" spans="1:12">
      <c r="A5" s="23">
        <v>3</v>
      </c>
      <c r="B5" s="22" t="s">
        <v>142</v>
      </c>
      <c r="C5" s="14">
        <v>0</v>
      </c>
      <c r="D5" s="14">
        <v>0</v>
      </c>
      <c r="E5" s="15">
        <v>1.78</v>
      </c>
      <c r="F5" s="15">
        <v>19</v>
      </c>
      <c r="G5" s="14" t="str">
        <f>IF(F4&gt;=22,"A",IF(F4&lt;22,"B",IF(F4&lt;20,"C")))</f>
        <v>A</v>
      </c>
      <c r="H5" s="155">
        <f>E5*C15</f>
        <v>1869000</v>
      </c>
      <c r="I5" s="22">
        <f t="shared" si="0"/>
        <v>70000</v>
      </c>
      <c r="J5" s="209" t="str">
        <f t="shared" ref="J5:J14" si="1">IF(G5="A","50000",IF(G5="B","0",IF(G5="C","-20000")))</f>
        <v>50000</v>
      </c>
      <c r="K5" s="192">
        <f t="shared" ref="K5:K11" si="2">H5*1/5</f>
        <v>373800</v>
      </c>
      <c r="L5" s="161">
        <f t="shared" ref="L5:L14" si="3">H5+I5+J5-K5</f>
        <v>1615200</v>
      </c>
    </row>
    <row r="6" spans="1:12">
      <c r="A6" s="23">
        <v>4</v>
      </c>
      <c r="B6" s="22" t="s">
        <v>143</v>
      </c>
      <c r="C6" s="14">
        <v>0</v>
      </c>
      <c r="D6" s="14">
        <v>3</v>
      </c>
      <c r="E6" s="15">
        <v>1.92</v>
      </c>
      <c r="F6" s="15">
        <v>20</v>
      </c>
      <c r="G6" s="14" t="s">
        <v>126</v>
      </c>
      <c r="H6" s="155">
        <f>E6*C15</f>
        <v>2016000</v>
      </c>
      <c r="I6" s="22">
        <f t="shared" si="0"/>
        <v>170000</v>
      </c>
      <c r="J6" s="209" t="str">
        <f t="shared" si="1"/>
        <v>-20000</v>
      </c>
      <c r="K6" s="192">
        <v>400000</v>
      </c>
      <c r="L6" s="161">
        <f t="shared" si="3"/>
        <v>1766000</v>
      </c>
    </row>
    <row r="7" spans="1:12">
      <c r="A7" s="23">
        <v>5</v>
      </c>
      <c r="B7" s="22" t="s">
        <v>144</v>
      </c>
      <c r="C7" s="14">
        <v>0</v>
      </c>
      <c r="D7" s="14">
        <v>2</v>
      </c>
      <c r="E7" s="15">
        <v>1.86</v>
      </c>
      <c r="F7" s="15">
        <v>21</v>
      </c>
      <c r="G7" s="14" t="str">
        <f t="shared" ref="G7:G14" si="4">IF(F7&gt;=22,"A",IF(F7&lt;22,"B",IF(F7&lt;20,"C")))</f>
        <v>B</v>
      </c>
      <c r="H7" s="155">
        <f>E7*C15</f>
        <v>1953000</v>
      </c>
      <c r="I7" s="22">
        <f t="shared" si="0"/>
        <v>170000</v>
      </c>
      <c r="J7" s="209" t="str">
        <f t="shared" si="1"/>
        <v>0</v>
      </c>
      <c r="K7" s="192">
        <f t="shared" si="2"/>
        <v>390600</v>
      </c>
      <c r="L7" s="161">
        <f t="shared" si="3"/>
        <v>1732400</v>
      </c>
    </row>
    <row r="8" spans="1:12">
      <c r="A8" s="23">
        <v>6</v>
      </c>
      <c r="B8" s="22" t="s">
        <v>145</v>
      </c>
      <c r="C8" s="14">
        <v>1</v>
      </c>
      <c r="D8" s="14">
        <v>1</v>
      </c>
      <c r="E8" s="15">
        <v>2</v>
      </c>
      <c r="F8" s="15">
        <v>22</v>
      </c>
      <c r="G8" s="14" t="str">
        <f>IF(F8&gt;=22,"A",IF(F8&lt;22,"B",IF(F8&lt;20,"C")))</f>
        <v>A</v>
      </c>
      <c r="H8" s="155">
        <f>E8*C15</f>
        <v>2100000</v>
      </c>
      <c r="I8" s="22">
        <f t="shared" si="0"/>
        <v>0</v>
      </c>
      <c r="J8" s="209" t="str">
        <f t="shared" si="1"/>
        <v>50000</v>
      </c>
      <c r="K8" s="192">
        <v>400000</v>
      </c>
      <c r="L8" s="161">
        <f t="shared" si="3"/>
        <v>1750000</v>
      </c>
    </row>
    <row r="9" spans="1:12">
      <c r="A9" s="23">
        <v>7</v>
      </c>
      <c r="B9" s="22" t="s">
        <v>146</v>
      </c>
      <c r="C9" s="14">
        <v>1</v>
      </c>
      <c r="D9" s="14">
        <v>2</v>
      </c>
      <c r="E9" s="15">
        <v>1.86</v>
      </c>
      <c r="F9" s="15">
        <v>19</v>
      </c>
      <c r="G9" s="14" t="s">
        <v>126</v>
      </c>
      <c r="H9" s="155">
        <f>E9*C15</f>
        <v>1953000</v>
      </c>
      <c r="I9" s="22">
        <f t="shared" si="0"/>
        <v>100000</v>
      </c>
      <c r="J9" s="209" t="str">
        <f t="shared" si="1"/>
        <v>-20000</v>
      </c>
      <c r="K9" s="192">
        <f t="shared" si="2"/>
        <v>390600</v>
      </c>
      <c r="L9" s="161">
        <f t="shared" si="3"/>
        <v>1642400</v>
      </c>
    </row>
    <row r="10" spans="1:12">
      <c r="A10" s="23">
        <v>8</v>
      </c>
      <c r="B10" s="22" t="s">
        <v>147</v>
      </c>
      <c r="C10" s="14">
        <v>1</v>
      </c>
      <c r="D10" s="14">
        <v>0</v>
      </c>
      <c r="E10" s="15">
        <v>1.92</v>
      </c>
      <c r="F10" s="15">
        <v>20</v>
      </c>
      <c r="G10" s="14" t="str">
        <f t="shared" si="4"/>
        <v>B</v>
      </c>
      <c r="H10" s="155">
        <f>E10*C15</f>
        <v>2016000</v>
      </c>
      <c r="I10" s="22">
        <f t="shared" si="0"/>
        <v>0</v>
      </c>
      <c r="J10" s="209" t="str">
        <f t="shared" si="1"/>
        <v>0</v>
      </c>
      <c r="K10" s="192">
        <v>400000</v>
      </c>
      <c r="L10" s="161">
        <f t="shared" si="3"/>
        <v>1616000</v>
      </c>
    </row>
    <row r="11" spans="1:12">
      <c r="A11" s="23">
        <v>9</v>
      </c>
      <c r="B11" s="22" t="s">
        <v>148</v>
      </c>
      <c r="C11" s="14">
        <v>0</v>
      </c>
      <c r="D11" s="14">
        <v>0</v>
      </c>
      <c r="E11" s="15">
        <v>1.78</v>
      </c>
      <c r="F11" s="15">
        <v>21</v>
      </c>
      <c r="G11" s="14" t="str">
        <f t="shared" si="4"/>
        <v>B</v>
      </c>
      <c r="H11" s="155">
        <f>E11*C15</f>
        <v>1869000</v>
      </c>
      <c r="I11" s="22">
        <f t="shared" si="0"/>
        <v>70000</v>
      </c>
      <c r="J11" s="209" t="str">
        <f t="shared" si="1"/>
        <v>0</v>
      </c>
      <c r="K11" s="192">
        <f t="shared" si="2"/>
        <v>373800</v>
      </c>
      <c r="L11" s="161">
        <f t="shared" si="3"/>
        <v>1565200</v>
      </c>
    </row>
    <row r="12" spans="1:12">
      <c r="A12" s="23">
        <v>10</v>
      </c>
      <c r="B12" s="22" t="s">
        <v>149</v>
      </c>
      <c r="C12" s="14">
        <v>1</v>
      </c>
      <c r="D12" s="14">
        <v>1</v>
      </c>
      <c r="E12" s="15">
        <v>2</v>
      </c>
      <c r="F12" s="15">
        <v>22</v>
      </c>
      <c r="G12" s="14" t="str">
        <f t="shared" si="4"/>
        <v>A</v>
      </c>
      <c r="H12" s="155">
        <f>E12*C15</f>
        <v>2100000</v>
      </c>
      <c r="I12" s="22">
        <f t="shared" si="0"/>
        <v>0</v>
      </c>
      <c r="J12" s="209" t="str">
        <f t="shared" si="1"/>
        <v>50000</v>
      </c>
      <c r="K12" s="192">
        <v>400000</v>
      </c>
      <c r="L12" s="161">
        <f t="shared" si="3"/>
        <v>1750000</v>
      </c>
    </row>
    <row r="13" spans="1:12">
      <c r="A13" s="23">
        <v>11</v>
      </c>
      <c r="B13" s="22" t="s">
        <v>150</v>
      </c>
      <c r="C13" s="14">
        <v>1</v>
      </c>
      <c r="D13" s="14">
        <v>2</v>
      </c>
      <c r="E13" s="15">
        <v>1.98</v>
      </c>
      <c r="F13" s="15">
        <v>23</v>
      </c>
      <c r="G13" s="14" t="str">
        <f t="shared" si="4"/>
        <v>A</v>
      </c>
      <c r="H13" s="155">
        <f>E13*C15</f>
        <v>2079000</v>
      </c>
      <c r="I13" s="22">
        <f t="shared" si="0"/>
        <v>100000</v>
      </c>
      <c r="J13" s="209" t="str">
        <f t="shared" si="1"/>
        <v>50000</v>
      </c>
      <c r="K13" s="192">
        <v>400000</v>
      </c>
      <c r="L13" s="161">
        <f t="shared" si="3"/>
        <v>1829000</v>
      </c>
    </row>
    <row r="14" spans="1:12" ht="17" thickBot="1">
      <c r="A14" s="24">
        <v>12</v>
      </c>
      <c r="B14" s="25" t="s">
        <v>151</v>
      </c>
      <c r="C14" s="26">
        <v>0</v>
      </c>
      <c r="D14" s="26">
        <v>3</v>
      </c>
      <c r="E14" s="27">
        <v>2.02</v>
      </c>
      <c r="F14" s="186">
        <v>22</v>
      </c>
      <c r="G14" s="187" t="str">
        <f t="shared" si="4"/>
        <v>A</v>
      </c>
      <c r="H14" s="188">
        <f>E14*C15</f>
        <v>2121000</v>
      </c>
      <c r="I14" s="22">
        <f t="shared" si="0"/>
        <v>170000</v>
      </c>
      <c r="J14" s="209" t="str">
        <f t="shared" si="1"/>
        <v>50000</v>
      </c>
      <c r="K14" s="191">
        <v>400000</v>
      </c>
      <c r="L14" s="189">
        <f t="shared" si="3"/>
        <v>1941000</v>
      </c>
    </row>
    <row r="15" spans="1:12" ht="17" thickTop="1">
      <c r="A15" s="12"/>
      <c r="B15" s="13" t="s">
        <v>152</v>
      </c>
      <c r="C15" s="81">
        <v>1050000</v>
      </c>
      <c r="D15" s="80"/>
    </row>
    <row r="16" spans="1:12">
      <c r="A16" s="12"/>
      <c r="B16" s="14" t="s">
        <v>153</v>
      </c>
      <c r="C16" s="14">
        <v>26</v>
      </c>
      <c r="D16" s="12"/>
    </row>
    <row r="17" spans="5:10">
      <c r="E17" s="84"/>
      <c r="F17" s="84"/>
      <c r="G17" s="85"/>
      <c r="H17" s="156"/>
      <c r="I17" s="85"/>
      <c r="J17" s="85"/>
    </row>
    <row r="18" spans="5:10">
      <c r="E18" s="84"/>
      <c r="F18" s="84" t="s">
        <v>429</v>
      </c>
      <c r="G18" s="85"/>
      <c r="H18" s="156"/>
      <c r="I18" s="85"/>
      <c r="J18" s="85"/>
    </row>
    <row r="19" spans="5:10">
      <c r="E19" s="84"/>
      <c r="F19" s="86" t="s">
        <v>427</v>
      </c>
      <c r="G19" s="87" t="s">
        <v>428</v>
      </c>
      <c r="H19" s="157"/>
      <c r="I19" s="85"/>
      <c r="J19" s="85"/>
    </row>
    <row r="20" spans="5:10">
      <c r="E20" s="84"/>
      <c r="F20" s="86"/>
      <c r="G20" s="88" t="s">
        <v>420</v>
      </c>
      <c r="H20" s="157"/>
      <c r="I20" s="85"/>
      <c r="J20" s="85"/>
    </row>
    <row r="21" spans="5:10">
      <c r="E21" s="84"/>
      <c r="F21" s="86"/>
      <c r="G21" s="88" t="s">
        <v>421</v>
      </c>
      <c r="H21" s="157"/>
      <c r="I21" s="85"/>
      <c r="J21" s="85"/>
    </row>
    <row r="22" spans="5:10">
      <c r="E22" s="84"/>
      <c r="F22" s="86" t="s">
        <v>426</v>
      </c>
      <c r="G22" s="87" t="s">
        <v>431</v>
      </c>
      <c r="H22" s="157"/>
      <c r="I22" s="85"/>
      <c r="J22" s="85"/>
    </row>
    <row r="23" spans="5:10">
      <c r="E23" s="84"/>
      <c r="F23" s="86"/>
      <c r="G23" s="88" t="s">
        <v>678</v>
      </c>
      <c r="H23" s="157"/>
      <c r="I23" s="85"/>
      <c r="J23" s="85"/>
    </row>
    <row r="24" spans="5:10">
      <c r="E24" s="84"/>
      <c r="F24" s="86" t="s">
        <v>424</v>
      </c>
      <c r="G24" s="87" t="s">
        <v>425</v>
      </c>
      <c r="H24" s="157"/>
      <c r="I24" s="85"/>
      <c r="J24" s="85"/>
    </row>
    <row r="25" spans="5:10">
      <c r="E25" s="84"/>
      <c r="F25" s="84"/>
      <c r="G25" s="87" t="s">
        <v>422</v>
      </c>
      <c r="H25" s="157"/>
      <c r="I25" s="85"/>
      <c r="J25" s="85"/>
    </row>
    <row r="26" spans="5:10">
      <c r="E26" s="84"/>
      <c r="F26" s="84"/>
      <c r="G26" s="87" t="s">
        <v>423</v>
      </c>
      <c r="H26" s="157"/>
      <c r="I26" s="85"/>
      <c r="J26" s="85"/>
    </row>
    <row r="27" spans="5:10">
      <c r="E27" s="84"/>
      <c r="F27" s="84" t="s">
        <v>432</v>
      </c>
      <c r="G27" s="85"/>
      <c r="H27" s="156"/>
      <c r="I27" s="85"/>
      <c r="J27" s="85"/>
    </row>
    <row r="28" spans="5:10">
      <c r="E28" s="84"/>
      <c r="F28" s="86" t="s">
        <v>72</v>
      </c>
      <c r="G28" s="89" t="s">
        <v>430</v>
      </c>
      <c r="H28" s="158"/>
      <c r="I28" s="85"/>
      <c r="J28" s="85"/>
    </row>
  </sheetData>
  <phoneticPr fontId="6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27"/>
  <sheetViews>
    <sheetView zoomScale="162" workbookViewId="0">
      <selection activeCell="E19" sqref="E19"/>
    </sheetView>
  </sheetViews>
  <sheetFormatPr baseColWidth="10" defaultColWidth="8.83203125" defaultRowHeight="13"/>
  <cols>
    <col min="1" max="1" width="6.83203125" customWidth="1"/>
    <col min="2" max="2" width="17.6640625" customWidth="1"/>
    <col min="3" max="5" width="10.6640625" bestFit="1" customWidth="1"/>
    <col min="6" max="6" width="11.6640625" bestFit="1" customWidth="1"/>
    <col min="7" max="7" width="16.5" customWidth="1"/>
    <col min="10" max="10" width="21.5" customWidth="1"/>
  </cols>
  <sheetData>
    <row r="1" spans="1:10" ht="16">
      <c r="A1" s="4"/>
      <c r="B1" s="4"/>
      <c r="C1" s="4"/>
      <c r="D1" s="234" t="s">
        <v>154</v>
      </c>
      <c r="E1" s="233"/>
      <c r="F1" s="233"/>
      <c r="G1" s="233"/>
      <c r="H1" s="4"/>
      <c r="I1" s="4"/>
      <c r="J1" s="4"/>
    </row>
    <row r="2" spans="1:10">
      <c r="A2" s="232" t="s">
        <v>45</v>
      </c>
      <c r="B2" s="232" t="s">
        <v>135</v>
      </c>
      <c r="C2" s="232" t="s">
        <v>155</v>
      </c>
      <c r="D2" s="232"/>
      <c r="E2" s="232"/>
      <c r="F2" s="231" t="s">
        <v>156</v>
      </c>
      <c r="G2" s="231" t="s">
        <v>157</v>
      </c>
      <c r="H2" s="232" t="s">
        <v>158</v>
      </c>
      <c r="I2" s="231" t="s">
        <v>159</v>
      </c>
      <c r="J2" s="231" t="s">
        <v>160</v>
      </c>
    </row>
    <row r="3" spans="1:10">
      <c r="A3" s="232"/>
      <c r="B3" s="232"/>
      <c r="C3" s="3" t="s">
        <v>76</v>
      </c>
      <c r="D3" s="3" t="s">
        <v>161</v>
      </c>
      <c r="E3" s="3" t="s">
        <v>162</v>
      </c>
      <c r="F3" s="232"/>
      <c r="G3" s="232"/>
      <c r="H3" s="232"/>
      <c r="I3" s="232"/>
      <c r="J3" s="232"/>
    </row>
    <row r="4" spans="1:10">
      <c r="A4" s="3">
        <v>1</v>
      </c>
      <c r="B4" s="4" t="s">
        <v>163</v>
      </c>
      <c r="C4" s="3">
        <v>10</v>
      </c>
      <c r="D4" s="3">
        <v>8</v>
      </c>
      <c r="E4" s="3">
        <v>9</v>
      </c>
      <c r="F4" s="4">
        <f>SUM(C4:E4)</f>
        <v>27</v>
      </c>
      <c r="G4" s="193">
        <f>F4/3</f>
        <v>9</v>
      </c>
      <c r="H4" s="3">
        <f>RANK(G4,G4:G17,)</f>
        <v>1</v>
      </c>
      <c r="I4" s="194" t="str">
        <f>IF(F4&gt;=27,"240000",IF(F4&gt;=24,"180000",IF(F4&lt;24,"0")))</f>
        <v>240000</v>
      </c>
      <c r="J4" s="4" t="str">
        <f>IF(AND(G4&gt;=5,C4&gt;=1,D4&gt;=1,E4&gt;=1),"Lên lớp","Lưu ban")</f>
        <v>Lên lớp</v>
      </c>
    </row>
    <row r="5" spans="1:10">
      <c r="A5" s="3">
        <v>2</v>
      </c>
      <c r="B5" s="4" t="s">
        <v>164</v>
      </c>
      <c r="C5" s="3">
        <v>0</v>
      </c>
      <c r="D5" s="3">
        <v>9</v>
      </c>
      <c r="E5" s="3">
        <v>7</v>
      </c>
      <c r="F5" s="4">
        <f t="shared" ref="F5:F17" si="0">SUM(C5:E5)</f>
        <v>16</v>
      </c>
      <c r="G5" s="193">
        <f t="shared" ref="G5:G17" si="1">F5/3</f>
        <v>5.333333333333333</v>
      </c>
      <c r="H5" s="177">
        <f>RANK(G5,G4:G17,)</f>
        <v>11</v>
      </c>
      <c r="I5" s="194" t="str">
        <f t="shared" ref="I5:I17" si="2">IF(F5&gt;=27,"240000",IF(F5&gt;=24,"180000",IF(F5&lt;24,"0")))</f>
        <v>0</v>
      </c>
      <c r="J5" s="4" t="str">
        <f t="shared" ref="J5:J17" si="3">IF(AND(G5&gt;=5,C5&gt;=1,D5&gt;=1,E5&gt;=1),"Lên lớp","Lưu ban")</f>
        <v>Lưu ban</v>
      </c>
    </row>
    <row r="6" spans="1:10">
      <c r="A6" s="3">
        <v>3</v>
      </c>
      <c r="B6" s="4" t="s">
        <v>165</v>
      </c>
      <c r="C6" s="3">
        <v>8</v>
      </c>
      <c r="D6" s="3">
        <v>6</v>
      </c>
      <c r="E6" s="3">
        <v>0</v>
      </c>
      <c r="F6" s="4">
        <f t="shared" si="0"/>
        <v>14</v>
      </c>
      <c r="G6" s="193">
        <f t="shared" si="1"/>
        <v>4.666666666666667</v>
      </c>
      <c r="H6" s="177">
        <f>RANK(G6,G4:G17,0)</f>
        <v>13</v>
      </c>
      <c r="I6" s="194" t="str">
        <f t="shared" si="2"/>
        <v>0</v>
      </c>
      <c r="J6" s="4" t="str">
        <f t="shared" si="3"/>
        <v>Lưu ban</v>
      </c>
    </row>
    <row r="7" spans="1:10">
      <c r="A7" s="3">
        <v>4</v>
      </c>
      <c r="B7" s="4" t="s">
        <v>166</v>
      </c>
      <c r="C7" s="3">
        <v>9</v>
      </c>
      <c r="D7" s="3">
        <v>8</v>
      </c>
      <c r="E7" s="3">
        <v>8</v>
      </c>
      <c r="F7" s="4">
        <f t="shared" si="0"/>
        <v>25</v>
      </c>
      <c r="G7" s="193">
        <f t="shared" si="1"/>
        <v>8.3333333333333339</v>
      </c>
      <c r="H7" s="177">
        <f>RANK(G7,G4:G17,0)</f>
        <v>2</v>
      </c>
      <c r="I7" s="194" t="str">
        <f t="shared" si="2"/>
        <v>180000</v>
      </c>
      <c r="J7" s="4" t="str">
        <f t="shared" si="3"/>
        <v>Lên lớp</v>
      </c>
    </row>
    <row r="8" spans="1:10">
      <c r="A8" s="3">
        <v>5</v>
      </c>
      <c r="B8" s="4" t="s">
        <v>167</v>
      </c>
      <c r="C8" s="3">
        <v>6</v>
      </c>
      <c r="D8" s="3">
        <v>7</v>
      </c>
      <c r="E8" s="3">
        <v>7</v>
      </c>
      <c r="F8" s="4">
        <f t="shared" si="0"/>
        <v>20</v>
      </c>
      <c r="G8" s="193">
        <f t="shared" si="1"/>
        <v>6.666666666666667</v>
      </c>
      <c r="H8" s="177">
        <f>RANK(G8,G4:G17,0)</f>
        <v>7</v>
      </c>
      <c r="I8" s="194" t="str">
        <f t="shared" si="2"/>
        <v>0</v>
      </c>
      <c r="J8" s="4" t="str">
        <f t="shared" si="3"/>
        <v>Lên lớp</v>
      </c>
    </row>
    <row r="9" spans="1:10">
      <c r="A9" s="3">
        <v>6</v>
      </c>
      <c r="B9" s="4" t="s">
        <v>168</v>
      </c>
      <c r="C9" s="3">
        <v>8</v>
      </c>
      <c r="D9" s="3">
        <v>0</v>
      </c>
      <c r="E9" s="3">
        <v>9</v>
      </c>
      <c r="F9" s="4">
        <f t="shared" si="0"/>
        <v>17</v>
      </c>
      <c r="G9" s="193">
        <f t="shared" si="1"/>
        <v>5.666666666666667</v>
      </c>
      <c r="H9" s="177">
        <f>RANK(G9,G4:G17,0)</f>
        <v>10</v>
      </c>
      <c r="I9" s="194" t="str">
        <f t="shared" si="2"/>
        <v>0</v>
      </c>
      <c r="J9" s="4" t="str">
        <f t="shared" si="3"/>
        <v>Lưu ban</v>
      </c>
    </row>
    <row r="10" spans="1:10">
      <c r="A10" s="3">
        <v>7</v>
      </c>
      <c r="B10" s="4" t="s">
        <v>169</v>
      </c>
      <c r="C10" s="3">
        <v>7</v>
      </c>
      <c r="D10" s="3">
        <v>6</v>
      </c>
      <c r="E10" s="3">
        <v>5</v>
      </c>
      <c r="F10" s="4">
        <f t="shared" si="0"/>
        <v>18</v>
      </c>
      <c r="G10" s="193">
        <f t="shared" si="1"/>
        <v>6</v>
      </c>
      <c r="H10" s="177">
        <f>RANK(G10,G4:G17,0)</f>
        <v>8</v>
      </c>
      <c r="I10" s="194" t="str">
        <f t="shared" si="2"/>
        <v>0</v>
      </c>
      <c r="J10" s="4" t="str">
        <f t="shared" si="3"/>
        <v>Lên lớp</v>
      </c>
    </row>
    <row r="11" spans="1:10">
      <c r="A11" s="3">
        <v>8</v>
      </c>
      <c r="B11" s="4" t="s">
        <v>170</v>
      </c>
      <c r="C11" s="3">
        <v>4</v>
      </c>
      <c r="D11" s="3">
        <v>7</v>
      </c>
      <c r="E11" s="3">
        <v>4</v>
      </c>
      <c r="F11" s="4">
        <f t="shared" si="0"/>
        <v>15</v>
      </c>
      <c r="G11" s="193">
        <f t="shared" si="1"/>
        <v>5</v>
      </c>
      <c r="H11" s="177">
        <f>RANK(G11,G4:G17,0)</f>
        <v>12</v>
      </c>
      <c r="I11" s="194" t="str">
        <f t="shared" si="2"/>
        <v>0</v>
      </c>
      <c r="J11" s="4" t="str">
        <f t="shared" si="3"/>
        <v>Lên lớp</v>
      </c>
    </row>
    <row r="12" spans="1:10">
      <c r="A12" s="3">
        <v>9</v>
      </c>
      <c r="B12" s="4" t="s">
        <v>171</v>
      </c>
      <c r="C12" s="3">
        <v>7</v>
      </c>
      <c r="D12" s="3">
        <v>8</v>
      </c>
      <c r="E12" s="3">
        <v>9</v>
      </c>
      <c r="F12" s="4">
        <f t="shared" si="0"/>
        <v>24</v>
      </c>
      <c r="G12" s="193">
        <f t="shared" si="1"/>
        <v>8</v>
      </c>
      <c r="H12" s="177">
        <f>RANK(G12,G4:G17,0)</f>
        <v>4</v>
      </c>
      <c r="I12" s="194" t="str">
        <f t="shared" si="2"/>
        <v>180000</v>
      </c>
      <c r="J12" s="4" t="str">
        <f t="shared" si="3"/>
        <v>Lên lớp</v>
      </c>
    </row>
    <row r="13" spans="1:10">
      <c r="A13" s="3">
        <v>10</v>
      </c>
      <c r="B13" s="4" t="s">
        <v>172</v>
      </c>
      <c r="C13" s="3">
        <v>6</v>
      </c>
      <c r="D13" s="3">
        <v>5</v>
      </c>
      <c r="E13" s="3">
        <v>7</v>
      </c>
      <c r="F13" s="4">
        <f t="shared" si="0"/>
        <v>18</v>
      </c>
      <c r="G13" s="193">
        <f t="shared" si="1"/>
        <v>6</v>
      </c>
      <c r="H13" s="177">
        <f>RANK(G13,G4:G17,0)</f>
        <v>8</v>
      </c>
      <c r="I13" s="194" t="str">
        <f t="shared" si="2"/>
        <v>0</v>
      </c>
      <c r="J13" s="4" t="str">
        <f t="shared" si="3"/>
        <v>Lên lớp</v>
      </c>
    </row>
    <row r="14" spans="1:10">
      <c r="A14" s="3">
        <v>11</v>
      </c>
      <c r="B14" s="4" t="s">
        <v>173</v>
      </c>
      <c r="C14" s="3">
        <v>9</v>
      </c>
      <c r="D14" s="3">
        <v>8</v>
      </c>
      <c r="E14" s="3">
        <v>8</v>
      </c>
      <c r="F14" s="4">
        <f t="shared" si="0"/>
        <v>25</v>
      </c>
      <c r="G14" s="193">
        <f t="shared" si="1"/>
        <v>8.3333333333333339</v>
      </c>
      <c r="H14" s="177">
        <f>RANK(G14,G4:G17,0)</f>
        <v>2</v>
      </c>
      <c r="I14" s="194" t="str">
        <f t="shared" si="2"/>
        <v>180000</v>
      </c>
      <c r="J14" s="4" t="str">
        <f t="shared" si="3"/>
        <v>Lên lớp</v>
      </c>
    </row>
    <row r="15" spans="1:10">
      <c r="A15" s="3">
        <v>12</v>
      </c>
      <c r="B15" s="4" t="s">
        <v>174</v>
      </c>
      <c r="C15" s="3">
        <v>6</v>
      </c>
      <c r="D15" s="3">
        <v>5</v>
      </c>
      <c r="E15" s="3">
        <v>0</v>
      </c>
      <c r="F15" s="4">
        <f t="shared" si="0"/>
        <v>11</v>
      </c>
      <c r="G15" s="193">
        <f t="shared" si="1"/>
        <v>3.6666666666666665</v>
      </c>
      <c r="H15" s="177">
        <f>RANK(G15,G4:G17,0)</f>
        <v>14</v>
      </c>
      <c r="I15" s="194" t="str">
        <f t="shared" si="2"/>
        <v>0</v>
      </c>
      <c r="J15" s="4" t="str">
        <f t="shared" si="3"/>
        <v>Lưu ban</v>
      </c>
    </row>
    <row r="16" spans="1:10">
      <c r="A16" s="3">
        <v>13</v>
      </c>
      <c r="B16" s="4" t="s">
        <v>175</v>
      </c>
      <c r="C16" s="3">
        <v>6</v>
      </c>
      <c r="D16" s="3">
        <v>7</v>
      </c>
      <c r="E16" s="3">
        <v>9</v>
      </c>
      <c r="F16" s="4">
        <f t="shared" si="0"/>
        <v>22</v>
      </c>
      <c r="G16" s="193">
        <f t="shared" si="1"/>
        <v>7.333333333333333</v>
      </c>
      <c r="H16" s="177">
        <f>RANK(G16,G4:G17,0)</f>
        <v>5</v>
      </c>
      <c r="I16" s="194" t="str">
        <f t="shared" si="2"/>
        <v>0</v>
      </c>
      <c r="J16" s="4" t="str">
        <f t="shared" si="3"/>
        <v>Lên lớp</v>
      </c>
    </row>
    <row r="17" spans="1:10">
      <c r="A17" s="176">
        <v>14</v>
      </c>
      <c r="B17" s="4" t="s">
        <v>176</v>
      </c>
      <c r="C17" s="3">
        <v>7</v>
      </c>
      <c r="D17" s="3">
        <v>8</v>
      </c>
      <c r="E17" s="3">
        <v>7</v>
      </c>
      <c r="F17" s="4">
        <f t="shared" si="0"/>
        <v>22</v>
      </c>
      <c r="G17" s="193">
        <f t="shared" si="1"/>
        <v>7.333333333333333</v>
      </c>
      <c r="H17" s="177">
        <f>RANK(G17,G4:G17,0)</f>
        <v>5</v>
      </c>
      <c r="I17" s="194" t="str">
        <f t="shared" si="2"/>
        <v>0</v>
      </c>
      <c r="J17" s="4" t="str">
        <f t="shared" si="3"/>
        <v>Lên lớp</v>
      </c>
    </row>
    <row r="18" spans="1:10">
      <c r="A18" s="233" t="s">
        <v>177</v>
      </c>
      <c r="B18" s="233"/>
      <c r="C18" s="195">
        <f>AVERAGE(C4:C17)</f>
        <v>6.6428571428571432</v>
      </c>
      <c r="D18" s="195">
        <f t="shared" ref="D18:F18" si="4">AVERAGE(D4:D17)</f>
        <v>6.5714285714285712</v>
      </c>
      <c r="E18" s="195">
        <f t="shared" si="4"/>
        <v>6.3571428571428568</v>
      </c>
      <c r="F18" s="195">
        <f t="shared" si="4"/>
        <v>19.571428571428573</v>
      </c>
      <c r="G18" s="195">
        <f>AVERAGE(G4:G17)</f>
        <v>6.5238095238095228</v>
      </c>
      <c r="H18" s="3"/>
      <c r="I18" s="4"/>
      <c r="J18" s="4"/>
    </row>
    <row r="19" spans="1:10">
      <c r="A19" s="233" t="s">
        <v>178</v>
      </c>
      <c r="B19" s="233"/>
      <c r="C19" s="3">
        <f>MAX(C4:C17)</f>
        <v>10</v>
      </c>
      <c r="D19" s="177">
        <f t="shared" ref="D19:G19" si="5">MAX(D4:D17)</f>
        <v>9</v>
      </c>
      <c r="E19" s="177">
        <f t="shared" si="5"/>
        <v>9</v>
      </c>
      <c r="F19" s="177">
        <f t="shared" si="5"/>
        <v>27</v>
      </c>
      <c r="G19" s="177">
        <f t="shared" si="5"/>
        <v>9</v>
      </c>
      <c r="H19" s="3"/>
      <c r="I19" s="4"/>
      <c r="J19" s="4"/>
    </row>
    <row r="20" spans="1:10">
      <c r="A20" s="233" t="s">
        <v>179</v>
      </c>
      <c r="B20" s="233"/>
      <c r="C20" s="195">
        <f>MIN(C4:C17)</f>
        <v>0</v>
      </c>
      <c r="D20" s="195">
        <f t="shared" ref="D20:G20" si="6">MIN(D4:D17)</f>
        <v>0</v>
      </c>
      <c r="E20" s="195">
        <f t="shared" si="6"/>
        <v>0</v>
      </c>
      <c r="F20" s="195">
        <f t="shared" si="6"/>
        <v>11</v>
      </c>
      <c r="G20" s="195">
        <f t="shared" si="6"/>
        <v>3.6666666666666665</v>
      </c>
      <c r="H20" s="3"/>
      <c r="I20" s="4"/>
      <c r="J20" s="4"/>
    </row>
    <row r="22" spans="1:10">
      <c r="C22" s="91" t="s">
        <v>448</v>
      </c>
    </row>
    <row r="23" spans="1:10">
      <c r="C23" s="91" t="s">
        <v>679</v>
      </c>
    </row>
    <row r="24" spans="1:10">
      <c r="C24" s="91" t="s">
        <v>449</v>
      </c>
    </row>
    <row r="25" spans="1:10">
      <c r="C25" s="93" t="s">
        <v>450</v>
      </c>
    </row>
    <row r="26" spans="1:10">
      <c r="C26" s="93" t="s">
        <v>451</v>
      </c>
    </row>
    <row r="27" spans="1:10">
      <c r="C27" s="93" t="s">
        <v>452</v>
      </c>
    </row>
  </sheetData>
  <mergeCells count="12">
    <mergeCell ref="D1:G1"/>
    <mergeCell ref="A2:A3"/>
    <mergeCell ref="B2:B3"/>
    <mergeCell ref="C2:E2"/>
    <mergeCell ref="F2:F3"/>
    <mergeCell ref="G2:G3"/>
    <mergeCell ref="J2:J3"/>
    <mergeCell ref="A18:B18"/>
    <mergeCell ref="A19:B19"/>
    <mergeCell ref="A20:B20"/>
    <mergeCell ref="H2:H3"/>
    <mergeCell ref="I2:I3"/>
  </mergeCells>
  <phoneticPr fontId="6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C000"/>
  </sheetPr>
  <dimension ref="A1:L25"/>
  <sheetViews>
    <sheetView zoomScale="150" workbookViewId="0">
      <selection activeCell="F16" sqref="F16"/>
    </sheetView>
  </sheetViews>
  <sheetFormatPr baseColWidth="10" defaultColWidth="8.83203125" defaultRowHeight="13"/>
  <cols>
    <col min="1" max="1" width="6.83203125" customWidth="1"/>
    <col min="2" max="4" width="10.5" customWidth="1"/>
    <col min="5" max="5" width="10.6640625" style="162" customWidth="1"/>
    <col min="6" max="6" width="14.1640625" style="162" customWidth="1"/>
    <col min="8" max="8" width="10.6640625" style="167" customWidth="1"/>
    <col min="9" max="9" width="7.1640625" customWidth="1"/>
    <col min="10" max="10" width="9.6640625" customWidth="1"/>
    <col min="11" max="11" width="9.1640625" customWidth="1"/>
    <col min="12" max="12" width="10.5" customWidth="1"/>
  </cols>
  <sheetData>
    <row r="1" spans="1:12">
      <c r="H1" s="233" t="s">
        <v>180</v>
      </c>
      <c r="I1" s="233"/>
      <c r="J1" s="4">
        <v>22</v>
      </c>
    </row>
    <row r="3" spans="1:12" ht="28">
      <c r="A3" s="8" t="s">
        <v>45</v>
      </c>
      <c r="B3" s="8" t="s">
        <v>135</v>
      </c>
      <c r="C3" s="9" t="s">
        <v>181</v>
      </c>
      <c r="D3" s="9" t="s">
        <v>182</v>
      </c>
      <c r="E3" s="163" t="s">
        <v>183</v>
      </c>
      <c r="F3" s="196" t="s">
        <v>454</v>
      </c>
      <c r="G3" s="9" t="s">
        <v>98</v>
      </c>
      <c r="H3" s="164" t="s">
        <v>99</v>
      </c>
      <c r="I3" s="9" t="s">
        <v>138</v>
      </c>
      <c r="J3" s="94" t="s">
        <v>457</v>
      </c>
      <c r="K3" s="9" t="s">
        <v>185</v>
      </c>
      <c r="L3" s="9" t="s">
        <v>186</v>
      </c>
    </row>
    <row r="4" spans="1:12">
      <c r="A4" s="95">
        <v>1</v>
      </c>
      <c r="B4" s="96" t="s">
        <v>166</v>
      </c>
      <c r="C4" s="201">
        <v>16711</v>
      </c>
      <c r="D4" s="95" t="s">
        <v>192</v>
      </c>
      <c r="E4" s="97">
        <f>2022-1945</f>
        <v>77</v>
      </c>
      <c r="F4" s="210" t="str">
        <f>IF(D4="HC","50000",IF(D4="KT","40000",IF(D4="TV","30000")))</f>
        <v>50000</v>
      </c>
      <c r="G4" s="96">
        <v>21</v>
      </c>
      <c r="H4" s="197" t="str">
        <f>IF(G4&gt;22,"25000","0")</f>
        <v>0</v>
      </c>
      <c r="I4" s="96">
        <v>2.1</v>
      </c>
      <c r="J4" s="198">
        <f>F4*G4*I4</f>
        <v>2205000</v>
      </c>
      <c r="K4" s="199">
        <v>500000</v>
      </c>
      <c r="L4" s="199">
        <f>J4+H4-K4</f>
        <v>1705000</v>
      </c>
    </row>
    <row r="5" spans="1:12">
      <c r="A5" s="95">
        <v>2</v>
      </c>
      <c r="B5" s="96" t="s">
        <v>187</v>
      </c>
      <c r="C5" s="201">
        <v>20372</v>
      </c>
      <c r="D5" s="95" t="s">
        <v>193</v>
      </c>
      <c r="E5" s="97">
        <f>2022-1955</f>
        <v>67</v>
      </c>
      <c r="F5" s="210" t="str">
        <f t="shared" ref="F5:F13" si="0">IF(D5="HC","50000",IF(D5="KT","40000",IF(D5="TV","30000")))</f>
        <v>30000</v>
      </c>
      <c r="G5" s="96">
        <v>23</v>
      </c>
      <c r="H5" s="197" t="str">
        <f t="shared" ref="H5:H13" si="1">IF(G5&gt;22,"25000","0")</f>
        <v>25000</v>
      </c>
      <c r="I5" s="96">
        <v>1.92</v>
      </c>
      <c r="J5" s="198">
        <f t="shared" ref="J5:J13" si="2">F5*G5*I5</f>
        <v>1324800</v>
      </c>
      <c r="K5" s="199">
        <f t="shared" ref="K5:K11" si="3">J5*1/3</f>
        <v>441600</v>
      </c>
      <c r="L5" s="199">
        <f t="shared" ref="L5:L13" si="4">J5+H5-K5</f>
        <v>908200</v>
      </c>
    </row>
    <row r="6" spans="1:12">
      <c r="A6" s="95">
        <v>3</v>
      </c>
      <c r="B6" s="96" t="s">
        <v>188</v>
      </c>
      <c r="C6" s="201">
        <v>17094</v>
      </c>
      <c r="D6" s="95" t="s">
        <v>194</v>
      </c>
      <c r="E6" s="97">
        <f>2022-1946</f>
        <v>76</v>
      </c>
      <c r="F6" s="210" t="str">
        <f t="shared" si="0"/>
        <v>40000</v>
      </c>
      <c r="G6" s="96">
        <v>19</v>
      </c>
      <c r="H6" s="197" t="str">
        <f t="shared" si="1"/>
        <v>0</v>
      </c>
      <c r="I6" s="96">
        <v>1.78</v>
      </c>
      <c r="J6" s="198">
        <f t="shared" si="2"/>
        <v>1352800</v>
      </c>
      <c r="K6" s="199">
        <f t="shared" si="3"/>
        <v>450933.33333333331</v>
      </c>
      <c r="L6" s="199">
        <f t="shared" si="4"/>
        <v>901866.66666666674</v>
      </c>
    </row>
    <row r="7" spans="1:12">
      <c r="A7" s="95">
        <v>4</v>
      </c>
      <c r="B7" s="96" t="s">
        <v>175</v>
      </c>
      <c r="C7" s="201">
        <v>14912</v>
      </c>
      <c r="D7" s="95" t="s">
        <v>192</v>
      </c>
      <c r="E7" s="97">
        <f>2022-1940</f>
        <v>82</v>
      </c>
      <c r="F7" s="210" t="str">
        <f t="shared" si="0"/>
        <v>50000</v>
      </c>
      <c r="G7" s="96">
        <v>20</v>
      </c>
      <c r="H7" s="197" t="str">
        <f t="shared" si="1"/>
        <v>0</v>
      </c>
      <c r="I7" s="96">
        <v>1.92</v>
      </c>
      <c r="J7" s="198">
        <f t="shared" si="2"/>
        <v>1920000</v>
      </c>
      <c r="K7" s="199">
        <v>500000</v>
      </c>
      <c r="L7" s="199">
        <f t="shared" si="4"/>
        <v>1420000</v>
      </c>
    </row>
    <row r="8" spans="1:12">
      <c r="A8" s="95">
        <v>5</v>
      </c>
      <c r="B8" s="96" t="s">
        <v>189</v>
      </c>
      <c r="C8" s="201">
        <v>28435</v>
      </c>
      <c r="D8" s="95" t="s">
        <v>193</v>
      </c>
      <c r="E8" s="97">
        <f>2022-1977</f>
        <v>45</v>
      </c>
      <c r="F8" s="210" t="str">
        <f t="shared" si="0"/>
        <v>30000</v>
      </c>
      <c r="G8" s="96">
        <v>22</v>
      </c>
      <c r="H8" s="197" t="str">
        <f t="shared" si="1"/>
        <v>0</v>
      </c>
      <c r="I8" s="96">
        <v>1.86</v>
      </c>
      <c r="J8" s="198">
        <f t="shared" si="2"/>
        <v>1227600</v>
      </c>
      <c r="K8" s="199">
        <f t="shared" si="3"/>
        <v>409200</v>
      </c>
      <c r="L8" s="199">
        <f t="shared" si="4"/>
        <v>818400</v>
      </c>
    </row>
    <row r="9" spans="1:12">
      <c r="A9" s="95">
        <v>6</v>
      </c>
      <c r="B9" s="96" t="s">
        <v>176</v>
      </c>
      <c r="C9" s="201">
        <v>22235</v>
      </c>
      <c r="D9" s="95" t="s">
        <v>194</v>
      </c>
      <c r="E9" s="97">
        <f>2022-1960</f>
        <v>62</v>
      </c>
      <c r="F9" s="210" t="str">
        <f t="shared" si="0"/>
        <v>40000</v>
      </c>
      <c r="G9" s="96">
        <v>23</v>
      </c>
      <c r="H9" s="197" t="str">
        <f t="shared" si="1"/>
        <v>25000</v>
      </c>
      <c r="I9" s="96">
        <v>2</v>
      </c>
      <c r="J9" s="198">
        <f t="shared" si="2"/>
        <v>1840000</v>
      </c>
      <c r="K9" s="199">
        <v>500000</v>
      </c>
      <c r="L9" s="199">
        <f>J9+H9-K9</f>
        <v>1365000</v>
      </c>
    </row>
    <row r="10" spans="1:12">
      <c r="A10" s="95">
        <v>7</v>
      </c>
      <c r="B10" s="96" t="s">
        <v>167</v>
      </c>
      <c r="C10" s="201">
        <v>25531</v>
      </c>
      <c r="D10" s="95" t="s">
        <v>192</v>
      </c>
      <c r="E10" s="97">
        <f>2022-1969</f>
        <v>53</v>
      </c>
      <c r="F10" s="210" t="str">
        <f t="shared" si="0"/>
        <v>50000</v>
      </c>
      <c r="G10" s="96">
        <v>20</v>
      </c>
      <c r="H10" s="197" t="str">
        <f t="shared" si="1"/>
        <v>0</v>
      </c>
      <c r="I10" s="96">
        <v>1.86</v>
      </c>
      <c r="J10" s="198">
        <f t="shared" si="2"/>
        <v>1860000</v>
      </c>
      <c r="K10" s="199">
        <v>500000</v>
      </c>
      <c r="L10" s="199">
        <f t="shared" si="4"/>
        <v>1360000</v>
      </c>
    </row>
    <row r="11" spans="1:12">
      <c r="A11" s="95">
        <v>8</v>
      </c>
      <c r="B11" s="96" t="s">
        <v>187</v>
      </c>
      <c r="C11" s="201">
        <v>27731</v>
      </c>
      <c r="D11" s="95" t="s">
        <v>193</v>
      </c>
      <c r="E11" s="97">
        <f>2022-1975</f>
        <v>47</v>
      </c>
      <c r="F11" s="210" t="str">
        <f t="shared" si="0"/>
        <v>30000</v>
      </c>
      <c r="G11" s="96">
        <v>18</v>
      </c>
      <c r="H11" s="197" t="str">
        <f t="shared" si="1"/>
        <v>0</v>
      </c>
      <c r="I11" s="96">
        <v>1.92</v>
      </c>
      <c r="J11" s="198">
        <f t="shared" si="2"/>
        <v>1036800</v>
      </c>
      <c r="K11" s="199">
        <f t="shared" si="3"/>
        <v>345600</v>
      </c>
      <c r="L11" s="199">
        <f t="shared" si="4"/>
        <v>691200</v>
      </c>
    </row>
    <row r="12" spans="1:12">
      <c r="A12" s="95">
        <v>9</v>
      </c>
      <c r="B12" s="96" t="s">
        <v>190</v>
      </c>
      <c r="C12" s="201">
        <v>24088</v>
      </c>
      <c r="D12" s="95" t="s">
        <v>194</v>
      </c>
      <c r="E12" s="97">
        <f>2022-1965</f>
        <v>57</v>
      </c>
      <c r="F12" s="210" t="str">
        <f t="shared" si="0"/>
        <v>40000</v>
      </c>
      <c r="G12" s="96">
        <v>22</v>
      </c>
      <c r="H12" s="197" t="str">
        <f t="shared" si="1"/>
        <v>0</v>
      </c>
      <c r="I12" s="96">
        <v>1.78</v>
      </c>
      <c r="J12" s="198">
        <f t="shared" si="2"/>
        <v>1566400</v>
      </c>
      <c r="K12" s="199">
        <v>500000</v>
      </c>
      <c r="L12" s="199">
        <f t="shared" si="4"/>
        <v>1066400</v>
      </c>
    </row>
    <row r="13" spans="1:12">
      <c r="A13" s="95">
        <v>10</v>
      </c>
      <c r="B13" s="96" t="s">
        <v>191</v>
      </c>
      <c r="C13" s="201">
        <v>20079</v>
      </c>
      <c r="D13" s="95" t="s">
        <v>192</v>
      </c>
      <c r="E13" s="97">
        <f>2022-1945</f>
        <v>77</v>
      </c>
      <c r="F13" s="210" t="str">
        <f t="shared" si="0"/>
        <v>50000</v>
      </c>
      <c r="G13" s="96">
        <v>21</v>
      </c>
      <c r="H13" s="197" t="str">
        <f t="shared" si="1"/>
        <v>0</v>
      </c>
      <c r="I13" s="96">
        <v>2</v>
      </c>
      <c r="J13" s="198">
        <f t="shared" si="2"/>
        <v>2100000</v>
      </c>
      <c r="K13" s="199">
        <v>500000</v>
      </c>
      <c r="L13" s="199">
        <f t="shared" si="4"/>
        <v>1600000</v>
      </c>
    </row>
    <row r="14" spans="1:12">
      <c r="A14" s="238" t="s">
        <v>195</v>
      </c>
      <c r="B14" s="238"/>
      <c r="C14" s="238"/>
      <c r="D14" s="238"/>
      <c r="E14" s="238"/>
      <c r="F14" s="238"/>
      <c r="G14" s="238"/>
      <c r="H14" s="238"/>
      <c r="I14" s="238"/>
      <c r="J14" s="199">
        <f>SUM(J4:J13)</f>
        <v>16433400</v>
      </c>
      <c r="K14" s="199">
        <f t="shared" ref="K14:L14" si="5">SUM(K4:K13)</f>
        <v>4647333.333333333</v>
      </c>
      <c r="L14" s="199">
        <f t="shared" si="5"/>
        <v>11836066.666666668</v>
      </c>
    </row>
    <row r="15" spans="1:12">
      <c r="G15" s="102"/>
      <c r="H15" s="165"/>
      <c r="I15" s="102"/>
      <c r="J15" s="100"/>
      <c r="K15" s="100"/>
      <c r="L15" s="100"/>
    </row>
    <row r="16" spans="1:12">
      <c r="A16" s="235" t="s">
        <v>477</v>
      </c>
      <c r="B16" s="236"/>
      <c r="C16" s="236"/>
      <c r="D16" s="236"/>
      <c r="E16" s="237"/>
      <c r="F16" s="168">
        <f>COUNTIF(D4:D13,"KT")</f>
        <v>3</v>
      </c>
      <c r="G16" s="103"/>
      <c r="H16" s="166"/>
      <c r="I16" s="103"/>
      <c r="J16" s="100"/>
      <c r="K16" s="100"/>
      <c r="L16" s="100"/>
    </row>
    <row r="17" spans="1:6">
      <c r="A17" s="235" t="s">
        <v>196</v>
      </c>
      <c r="B17" s="236"/>
      <c r="C17" s="236"/>
      <c r="D17" s="236"/>
      <c r="E17" s="237"/>
      <c r="F17" s="200">
        <f>L6+L9+L12</f>
        <v>3333266.666666667</v>
      </c>
    </row>
    <row r="18" spans="1:6">
      <c r="D18" s="91" t="s">
        <v>453</v>
      </c>
    </row>
    <row r="19" spans="1:6">
      <c r="D19" s="91" t="s">
        <v>455</v>
      </c>
    </row>
    <row r="20" spans="1:6">
      <c r="D20" s="91" t="s">
        <v>456</v>
      </c>
    </row>
    <row r="21" spans="1:6">
      <c r="D21" s="91" t="s">
        <v>458</v>
      </c>
    </row>
    <row r="22" spans="1:6">
      <c r="D22" s="91" t="s">
        <v>459</v>
      </c>
    </row>
    <row r="23" spans="1:6">
      <c r="D23" s="91" t="s">
        <v>460</v>
      </c>
    </row>
    <row r="24" spans="1:6">
      <c r="D24" s="91" t="s">
        <v>461</v>
      </c>
    </row>
    <row r="25" spans="1:6">
      <c r="D25" s="91" t="s">
        <v>476</v>
      </c>
    </row>
  </sheetData>
  <mergeCells count="4">
    <mergeCell ref="A17:E17"/>
    <mergeCell ref="H1:I1"/>
    <mergeCell ref="A14:I14"/>
    <mergeCell ref="A16:E16"/>
  </mergeCells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FFC000"/>
  </sheetPr>
  <dimension ref="A1:K24"/>
  <sheetViews>
    <sheetView zoomScale="162" workbookViewId="0">
      <selection activeCell="K9" sqref="K9"/>
    </sheetView>
  </sheetViews>
  <sheetFormatPr baseColWidth="10" defaultColWidth="8.83203125" defaultRowHeight="13"/>
  <cols>
    <col min="1" max="1" width="6.1640625" customWidth="1"/>
    <col min="2" max="2" width="5.83203125" customWidth="1"/>
    <col min="3" max="3" width="13.83203125" customWidth="1"/>
  </cols>
  <sheetData>
    <row r="1" spans="1:11">
      <c r="A1" s="3" t="s">
        <v>45</v>
      </c>
      <c r="B1" s="3" t="s">
        <v>117</v>
      </c>
      <c r="C1" s="4" t="s">
        <v>1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</row>
    <row r="2" spans="1:11">
      <c r="A2" s="3">
        <v>1</v>
      </c>
      <c r="B2" s="3" t="s">
        <v>124</v>
      </c>
      <c r="C2" s="151" t="str">
        <f>IF(B2="A","Chè",IF(B2="B","Cà Phê",IF(B2="C","Thuốc lá")))</f>
        <v>Chè</v>
      </c>
      <c r="D2" s="4">
        <v>100</v>
      </c>
      <c r="E2" s="4">
        <v>90</v>
      </c>
      <c r="F2" s="194">
        <f>IF(B2="A",50,IF(B2="B",40,IF(B2="C","30")))</f>
        <v>50</v>
      </c>
      <c r="G2" s="194">
        <f>IF(B2="A",55,IF(B2="B",45,IF(B2="C","35")))</f>
        <v>55</v>
      </c>
      <c r="H2" s="4">
        <f>D2*F2</f>
        <v>5000</v>
      </c>
      <c r="I2" s="4">
        <f>E2*G2</f>
        <v>4950</v>
      </c>
    </row>
    <row r="3" spans="1:11">
      <c r="A3" s="3">
        <v>2</v>
      </c>
      <c r="B3" s="3" t="s">
        <v>125</v>
      </c>
      <c r="C3" s="151" t="str">
        <f t="shared" ref="C3:C13" si="0">IF(B3="A","Chè",IF(B3="B","Cà Phê",IF(B3="C","Thuốc lá")))</f>
        <v>Cà Phê</v>
      </c>
      <c r="D3" s="4">
        <v>120</v>
      </c>
      <c r="E3" s="4">
        <v>100</v>
      </c>
      <c r="F3" s="194">
        <f t="shared" ref="F3:F13" si="1">IF(B3="A",50,IF(B3="B",40,IF(B3="C","30")))</f>
        <v>40</v>
      </c>
      <c r="G3" s="194">
        <f t="shared" ref="G3:G13" si="2">IF(B3="A",55,IF(B3="B",45,IF(B3="C","35")))</f>
        <v>45</v>
      </c>
      <c r="H3" s="4">
        <f t="shared" ref="H3:H13" si="3">D3*F3</f>
        <v>4800</v>
      </c>
      <c r="I3" s="4">
        <f t="shared" ref="I3:I13" si="4">E3*G3</f>
        <v>4500</v>
      </c>
    </row>
    <row r="4" spans="1:11">
      <c r="A4" s="3">
        <v>3</v>
      </c>
      <c r="B4" s="3" t="s">
        <v>126</v>
      </c>
      <c r="C4" s="151" t="str">
        <f t="shared" si="0"/>
        <v>Thuốc lá</v>
      </c>
      <c r="D4" s="4">
        <v>140</v>
      </c>
      <c r="E4" s="4">
        <v>110</v>
      </c>
      <c r="F4" s="194" t="str">
        <f t="shared" si="1"/>
        <v>30</v>
      </c>
      <c r="G4" s="194" t="str">
        <f t="shared" si="2"/>
        <v>35</v>
      </c>
      <c r="H4" s="4">
        <f t="shared" si="3"/>
        <v>4200</v>
      </c>
      <c r="I4" s="4">
        <f t="shared" si="4"/>
        <v>3850</v>
      </c>
    </row>
    <row r="5" spans="1:11">
      <c r="A5" s="3">
        <v>4</v>
      </c>
      <c r="B5" s="3" t="s">
        <v>124</v>
      </c>
      <c r="C5" s="151" t="str">
        <f t="shared" si="0"/>
        <v>Chè</v>
      </c>
      <c r="D5" s="4">
        <v>160</v>
      </c>
      <c r="E5" s="4">
        <v>120</v>
      </c>
      <c r="F5" s="194">
        <f t="shared" si="1"/>
        <v>50</v>
      </c>
      <c r="G5" s="194">
        <f t="shared" si="2"/>
        <v>55</v>
      </c>
      <c r="H5" s="4">
        <f t="shared" si="3"/>
        <v>8000</v>
      </c>
      <c r="I5" s="4">
        <f t="shared" si="4"/>
        <v>6600</v>
      </c>
    </row>
    <row r="6" spans="1:11">
      <c r="A6" s="3">
        <v>5</v>
      </c>
      <c r="B6" s="3" t="s">
        <v>125</v>
      </c>
      <c r="C6" s="151" t="str">
        <f t="shared" si="0"/>
        <v>Cà Phê</v>
      </c>
      <c r="D6" s="4">
        <v>180</v>
      </c>
      <c r="E6" s="4">
        <v>130</v>
      </c>
      <c r="F6" s="194">
        <f t="shared" si="1"/>
        <v>40</v>
      </c>
      <c r="G6" s="194">
        <f t="shared" si="2"/>
        <v>45</v>
      </c>
      <c r="H6" s="4">
        <f t="shared" si="3"/>
        <v>7200</v>
      </c>
      <c r="I6" s="4">
        <f t="shared" si="4"/>
        <v>5850</v>
      </c>
    </row>
    <row r="7" spans="1:11">
      <c r="A7" s="3">
        <v>6</v>
      </c>
      <c r="B7" s="3" t="s">
        <v>126</v>
      </c>
      <c r="C7" s="151" t="str">
        <f t="shared" si="0"/>
        <v>Thuốc lá</v>
      </c>
      <c r="D7" s="4">
        <v>200</v>
      </c>
      <c r="E7" s="4">
        <v>140</v>
      </c>
      <c r="F7" s="194" t="str">
        <f t="shared" si="1"/>
        <v>30</v>
      </c>
      <c r="G7" s="194" t="str">
        <f t="shared" si="2"/>
        <v>35</v>
      </c>
      <c r="H7" s="4">
        <f t="shared" si="3"/>
        <v>6000</v>
      </c>
      <c r="I7" s="4">
        <f t="shared" si="4"/>
        <v>4900</v>
      </c>
    </row>
    <row r="8" spans="1:11">
      <c r="A8" s="3">
        <v>7</v>
      </c>
      <c r="B8" s="3" t="s">
        <v>124</v>
      </c>
      <c r="C8" s="151" t="str">
        <f t="shared" si="0"/>
        <v>Chè</v>
      </c>
      <c r="D8" s="4">
        <v>220</v>
      </c>
      <c r="E8" s="4">
        <v>150</v>
      </c>
      <c r="F8" s="194">
        <f t="shared" si="1"/>
        <v>50</v>
      </c>
      <c r="G8" s="194">
        <f t="shared" si="2"/>
        <v>55</v>
      </c>
      <c r="H8" s="4">
        <f t="shared" si="3"/>
        <v>11000</v>
      </c>
      <c r="I8" s="4">
        <f t="shared" si="4"/>
        <v>8250</v>
      </c>
      <c r="K8" s="91"/>
    </row>
    <row r="9" spans="1:11">
      <c r="A9" s="3">
        <v>8</v>
      </c>
      <c r="B9" s="3" t="s">
        <v>125</v>
      </c>
      <c r="C9" s="151" t="str">
        <f t="shared" si="0"/>
        <v>Cà Phê</v>
      </c>
      <c r="D9" s="4">
        <v>240</v>
      </c>
      <c r="E9" s="4">
        <v>160</v>
      </c>
      <c r="F9" s="194">
        <f t="shared" si="1"/>
        <v>40</v>
      </c>
      <c r="G9" s="194">
        <f t="shared" si="2"/>
        <v>45</v>
      </c>
      <c r="H9" s="4">
        <f t="shared" si="3"/>
        <v>9600</v>
      </c>
      <c r="I9" s="4">
        <f t="shared" si="4"/>
        <v>7200</v>
      </c>
      <c r="K9" s="91"/>
    </row>
    <row r="10" spans="1:11">
      <c r="A10" s="3">
        <v>9</v>
      </c>
      <c r="B10" s="3" t="s">
        <v>126</v>
      </c>
      <c r="C10" s="151" t="str">
        <f t="shared" si="0"/>
        <v>Thuốc lá</v>
      </c>
      <c r="D10" s="4">
        <v>260</v>
      </c>
      <c r="E10" s="4">
        <v>170</v>
      </c>
      <c r="F10" s="194" t="str">
        <f t="shared" si="1"/>
        <v>30</v>
      </c>
      <c r="G10" s="194" t="str">
        <f t="shared" si="2"/>
        <v>35</v>
      </c>
      <c r="H10" s="4">
        <f t="shared" si="3"/>
        <v>7800</v>
      </c>
      <c r="I10" s="4">
        <f t="shared" si="4"/>
        <v>5950</v>
      </c>
    </row>
    <row r="11" spans="1:11">
      <c r="A11" s="3">
        <v>10</v>
      </c>
      <c r="B11" s="3" t="s">
        <v>124</v>
      </c>
      <c r="C11" s="151" t="str">
        <f t="shared" si="0"/>
        <v>Chè</v>
      </c>
      <c r="D11" s="4">
        <v>280</v>
      </c>
      <c r="E11" s="4">
        <v>180</v>
      </c>
      <c r="F11" s="194">
        <f t="shared" si="1"/>
        <v>50</v>
      </c>
      <c r="G11" s="194">
        <f t="shared" si="2"/>
        <v>55</v>
      </c>
      <c r="H11" s="4">
        <f t="shared" si="3"/>
        <v>14000</v>
      </c>
      <c r="I11" s="4">
        <f t="shared" si="4"/>
        <v>9900</v>
      </c>
    </row>
    <row r="12" spans="1:11">
      <c r="A12" s="3">
        <v>11</v>
      </c>
      <c r="B12" s="3" t="s">
        <v>125</v>
      </c>
      <c r="C12" s="151" t="str">
        <f t="shared" si="0"/>
        <v>Cà Phê</v>
      </c>
      <c r="D12" s="4">
        <v>300</v>
      </c>
      <c r="E12" s="4">
        <v>190</v>
      </c>
      <c r="F12" s="194">
        <f t="shared" si="1"/>
        <v>40</v>
      </c>
      <c r="G12" s="194">
        <f t="shared" si="2"/>
        <v>45</v>
      </c>
      <c r="H12" s="4">
        <f t="shared" si="3"/>
        <v>12000</v>
      </c>
      <c r="I12" s="4">
        <f t="shared" si="4"/>
        <v>8550</v>
      </c>
    </row>
    <row r="13" spans="1:11">
      <c r="A13" s="3">
        <v>12</v>
      </c>
      <c r="B13" s="3" t="s">
        <v>126</v>
      </c>
      <c r="C13" s="151" t="str">
        <f t="shared" si="0"/>
        <v>Thuốc lá</v>
      </c>
      <c r="D13" s="4">
        <v>320</v>
      </c>
      <c r="E13" s="4">
        <v>200</v>
      </c>
      <c r="F13" s="194" t="str">
        <f t="shared" si="1"/>
        <v>30</v>
      </c>
      <c r="G13" s="194" t="str">
        <f t="shared" si="2"/>
        <v>35</v>
      </c>
      <c r="H13" s="4">
        <f t="shared" si="3"/>
        <v>9600</v>
      </c>
      <c r="I13" s="4">
        <f t="shared" si="4"/>
        <v>7000</v>
      </c>
    </row>
    <row r="14" spans="1:11">
      <c r="A14" s="219" t="s">
        <v>127</v>
      </c>
      <c r="B14" s="219"/>
    </row>
    <row r="15" spans="1:11">
      <c r="B15" s="4" t="s">
        <v>128</v>
      </c>
      <c r="C15" s="4" t="s">
        <v>130</v>
      </c>
      <c r="D15" s="4" t="s">
        <v>131</v>
      </c>
      <c r="E15" s="4" t="s">
        <v>132</v>
      </c>
      <c r="H15" s="91" t="s">
        <v>441</v>
      </c>
    </row>
    <row r="16" spans="1:11">
      <c r="B16" s="4" t="s">
        <v>124</v>
      </c>
      <c r="C16" s="4" t="s">
        <v>129</v>
      </c>
      <c r="D16" s="4">
        <v>50</v>
      </c>
      <c r="E16" s="4">
        <v>55</v>
      </c>
      <c r="H16" s="91" t="s">
        <v>442</v>
      </c>
    </row>
    <row r="17" spans="2:8">
      <c r="B17" s="4" t="s">
        <v>125</v>
      </c>
      <c r="C17" s="4" t="s">
        <v>41</v>
      </c>
      <c r="D17" s="4">
        <v>40</v>
      </c>
      <c r="E17" s="4">
        <v>45</v>
      </c>
      <c r="H17" s="91" t="s">
        <v>443</v>
      </c>
    </row>
    <row r="18" spans="2:8">
      <c r="B18" s="4" t="s">
        <v>126</v>
      </c>
      <c r="C18" s="4" t="s">
        <v>42</v>
      </c>
      <c r="D18" s="4">
        <v>30</v>
      </c>
      <c r="E18" s="4">
        <v>35</v>
      </c>
      <c r="H18" s="91" t="s">
        <v>444</v>
      </c>
    </row>
    <row r="19" spans="2:8">
      <c r="H19" s="91" t="s">
        <v>445</v>
      </c>
    </row>
    <row r="20" spans="2:8">
      <c r="C20" s="90" t="s">
        <v>447</v>
      </c>
      <c r="H20" s="92" t="s">
        <v>446</v>
      </c>
    </row>
    <row r="21" spans="2:8" ht="28">
      <c r="C21" s="124" t="s">
        <v>130</v>
      </c>
      <c r="D21" s="123" t="s">
        <v>133</v>
      </c>
      <c r="E21" s="123" t="s">
        <v>134</v>
      </c>
      <c r="F21" s="144"/>
    </row>
    <row r="22" spans="2:8">
      <c r="C22" s="4" t="s">
        <v>129</v>
      </c>
      <c r="D22" s="4">
        <f>SUMIF($C$2:$C$13,C22,$D$2:$D$13)</f>
        <v>760</v>
      </c>
      <c r="E22" s="4">
        <f>COUNTIF(C2:C13,"Chè")</f>
        <v>4</v>
      </c>
      <c r="F22" s="99"/>
    </row>
    <row r="23" spans="2:8">
      <c r="C23" s="4" t="s">
        <v>41</v>
      </c>
      <c r="D23" s="4">
        <f t="shared" ref="D23:D24" si="5">SUMIF($C$2:$C$13,C23,$D$2:$D$13)</f>
        <v>840</v>
      </c>
      <c r="E23" s="4">
        <f>COUNTIF(C2:C13,"Cà Phê")</f>
        <v>4</v>
      </c>
      <c r="F23" s="99"/>
    </row>
    <row r="24" spans="2:8">
      <c r="C24" s="4" t="s">
        <v>42</v>
      </c>
      <c r="D24" s="4">
        <f t="shared" si="5"/>
        <v>920</v>
      </c>
      <c r="E24">
        <f>COUNTIF(C2:C13,"Thuốc lá")</f>
        <v>4</v>
      </c>
      <c r="F24" s="99"/>
    </row>
  </sheetData>
  <mergeCells count="1">
    <mergeCell ref="A14:B14"/>
  </mergeCells>
  <phoneticPr fontId="6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FFC000"/>
  </sheetPr>
  <dimension ref="A1:K27"/>
  <sheetViews>
    <sheetView zoomScale="150" zoomScaleNormal="100" workbookViewId="0">
      <selection activeCell="F24" sqref="F24"/>
    </sheetView>
  </sheetViews>
  <sheetFormatPr baseColWidth="10" defaultColWidth="8.83203125" defaultRowHeight="13"/>
  <cols>
    <col min="1" max="1" width="5.6640625" customWidth="1"/>
    <col min="3" max="3" width="10.33203125" customWidth="1"/>
    <col min="4" max="4" width="15" customWidth="1"/>
    <col min="5" max="5" width="11.33203125" customWidth="1"/>
    <col min="6" max="6" width="10.5" customWidth="1"/>
    <col min="7" max="7" width="8.83203125" customWidth="1"/>
    <col min="9" max="9" width="11" customWidth="1"/>
    <col min="10" max="10" width="8.83203125" customWidth="1"/>
    <col min="11" max="11" width="10.1640625" bestFit="1" customWidth="1"/>
  </cols>
  <sheetData>
    <row r="1" spans="1:11">
      <c r="J1" s="4" t="s">
        <v>220</v>
      </c>
      <c r="K1" s="4">
        <v>22</v>
      </c>
    </row>
    <row r="2" spans="1:11" ht="28">
      <c r="A2" s="3" t="s">
        <v>45</v>
      </c>
      <c r="B2" s="98" t="s">
        <v>466</v>
      </c>
      <c r="C2" s="98" t="s">
        <v>245</v>
      </c>
      <c r="D2" s="3" t="s">
        <v>197</v>
      </c>
      <c r="E2" s="2" t="s">
        <v>182</v>
      </c>
      <c r="F2" s="98" t="s">
        <v>184</v>
      </c>
      <c r="G2" s="2" t="s">
        <v>98</v>
      </c>
      <c r="H2" s="98" t="s">
        <v>138</v>
      </c>
      <c r="I2" s="101" t="s">
        <v>457</v>
      </c>
      <c r="J2" s="2" t="s">
        <v>99</v>
      </c>
      <c r="K2" s="2" t="s">
        <v>198</v>
      </c>
    </row>
    <row r="3" spans="1:11">
      <c r="A3" s="3">
        <v>1</v>
      </c>
      <c r="B3" s="4" t="s">
        <v>213</v>
      </c>
      <c r="C3" s="98" t="s">
        <v>124</v>
      </c>
      <c r="D3" s="4" t="s">
        <v>199</v>
      </c>
      <c r="E3" s="151" t="str">
        <f>IF(B3="DT","Đào tạo",IF(B3="HC","Hành chính",IF(B3="TV","Tài vụ",IF(B3="VT","Vật tư"))))</f>
        <v>Đào tạo</v>
      </c>
      <c r="F3" s="194" t="str">
        <f>IF(B3="DT","50000",IF(B3="HC","40000",IF(B3="TV","30000",IF(B3="VT","20000"))))</f>
        <v>50000</v>
      </c>
      <c r="G3" s="4">
        <v>20</v>
      </c>
      <c r="H3" s="194" t="str">
        <f>IF(C3="A","3",IF(C3="B","2,5",IF(C3="C","2,75")))</f>
        <v>3</v>
      </c>
      <c r="I3" s="202">
        <f>50000*G3*H3</f>
        <v>3000000</v>
      </c>
      <c r="J3" s="194" t="str">
        <f>IF(G3&gt;22,(G3-22)*25000,IF(22-G3&gt;=3,(22-G3)*-10000,"0"))</f>
        <v>0</v>
      </c>
      <c r="K3" s="203">
        <f>I3+F3+J3</f>
        <v>3050000</v>
      </c>
    </row>
    <row r="4" spans="1:11">
      <c r="A4" s="3">
        <v>2</v>
      </c>
      <c r="B4" s="4" t="s">
        <v>192</v>
      </c>
      <c r="C4" s="98" t="s">
        <v>125</v>
      </c>
      <c r="D4" s="4" t="s">
        <v>200</v>
      </c>
      <c r="E4" s="151" t="str">
        <f t="shared" ref="E4:E14" si="0">IF(B4="DT","Đào tạo",IF(B4="HC","Hành chính",IF(B4="TV","Tài vụ",IF(B4="VT","Vật tư"))))</f>
        <v>Hành chính</v>
      </c>
      <c r="F4" s="194" t="str">
        <f t="shared" ref="F4:F14" si="1">IF(B4="DT","50000",IF(B4="HC","40000",IF(B4="TV","30000",IF(B4="VT","20000"))))</f>
        <v>40000</v>
      </c>
      <c r="G4" s="4">
        <v>15</v>
      </c>
      <c r="H4" s="194" t="str">
        <f t="shared" ref="H4:H14" si="2">IF(C4="A","3",IF(C4="B","2,5",IF(C4="C","2,75")))</f>
        <v>2,5</v>
      </c>
      <c r="I4" s="202">
        <f t="shared" ref="I4:I14" si="3">50000*G4*H4</f>
        <v>1875000</v>
      </c>
      <c r="J4" s="194">
        <f t="shared" ref="J4:J14" si="4">IF(G4&gt;22,(G4-22)*25000,IF(22-G4&gt;=3,(22-G4)*-10000,"0"))</f>
        <v>-70000</v>
      </c>
      <c r="K4" s="203">
        <f t="shared" ref="K4:K14" si="5">I4+F4+J4</f>
        <v>1845000</v>
      </c>
    </row>
    <row r="5" spans="1:11">
      <c r="A5" s="3">
        <v>3</v>
      </c>
      <c r="B5" s="4" t="s">
        <v>214</v>
      </c>
      <c r="C5" s="98" t="s">
        <v>125</v>
      </c>
      <c r="D5" s="4" t="s">
        <v>201</v>
      </c>
      <c r="E5" s="151" t="str">
        <f t="shared" si="0"/>
        <v>Vật tư</v>
      </c>
      <c r="F5" s="194" t="str">
        <f t="shared" si="1"/>
        <v>20000</v>
      </c>
      <c r="G5" s="4">
        <v>27</v>
      </c>
      <c r="H5" s="194" t="str">
        <f t="shared" si="2"/>
        <v>2,5</v>
      </c>
      <c r="I5" s="202">
        <f t="shared" si="3"/>
        <v>3375000</v>
      </c>
      <c r="J5" s="194">
        <f t="shared" si="4"/>
        <v>125000</v>
      </c>
      <c r="K5" s="203">
        <f t="shared" si="5"/>
        <v>3520000</v>
      </c>
    </row>
    <row r="6" spans="1:11">
      <c r="A6" s="3">
        <v>4</v>
      </c>
      <c r="B6" s="4" t="s">
        <v>213</v>
      </c>
      <c r="C6" s="98" t="s">
        <v>126</v>
      </c>
      <c r="D6" s="4" t="s">
        <v>202</v>
      </c>
      <c r="E6" s="151" t="str">
        <f t="shared" si="0"/>
        <v>Đào tạo</v>
      </c>
      <c r="F6" s="194" t="str">
        <f t="shared" si="1"/>
        <v>50000</v>
      </c>
      <c r="G6" s="4">
        <v>19</v>
      </c>
      <c r="H6" s="194" t="str">
        <f t="shared" si="2"/>
        <v>2,75</v>
      </c>
      <c r="I6" s="202">
        <f t="shared" si="3"/>
        <v>2612500</v>
      </c>
      <c r="J6" s="194">
        <f t="shared" si="4"/>
        <v>-30000</v>
      </c>
      <c r="K6" s="203">
        <f t="shared" si="5"/>
        <v>2632500</v>
      </c>
    </row>
    <row r="7" spans="1:11">
      <c r="A7" s="3">
        <v>5</v>
      </c>
      <c r="B7" s="4" t="s">
        <v>214</v>
      </c>
      <c r="C7" s="98" t="s">
        <v>124</v>
      </c>
      <c r="D7" s="4" t="s">
        <v>203</v>
      </c>
      <c r="E7" s="151" t="str">
        <f t="shared" si="0"/>
        <v>Vật tư</v>
      </c>
      <c r="F7" s="194" t="str">
        <f t="shared" si="1"/>
        <v>20000</v>
      </c>
      <c r="G7" s="4">
        <v>24</v>
      </c>
      <c r="H7" s="194" t="str">
        <f t="shared" si="2"/>
        <v>3</v>
      </c>
      <c r="I7" s="202">
        <f t="shared" si="3"/>
        <v>3600000</v>
      </c>
      <c r="J7" s="194">
        <f t="shared" si="4"/>
        <v>50000</v>
      </c>
      <c r="K7" s="203">
        <f t="shared" si="5"/>
        <v>3670000</v>
      </c>
    </row>
    <row r="8" spans="1:11">
      <c r="A8" s="3">
        <v>6</v>
      </c>
      <c r="B8" s="4" t="s">
        <v>192</v>
      </c>
      <c r="C8" s="98" t="s">
        <v>124</v>
      </c>
      <c r="D8" s="4" t="s">
        <v>204</v>
      </c>
      <c r="E8" s="151" t="str">
        <f t="shared" si="0"/>
        <v>Hành chính</v>
      </c>
      <c r="F8" s="194" t="str">
        <f t="shared" si="1"/>
        <v>40000</v>
      </c>
      <c r="G8" s="4">
        <v>22</v>
      </c>
      <c r="H8" s="194" t="str">
        <f t="shared" si="2"/>
        <v>3</v>
      </c>
      <c r="I8" s="202">
        <f t="shared" si="3"/>
        <v>3300000</v>
      </c>
      <c r="J8" s="194" t="str">
        <f t="shared" si="4"/>
        <v>0</v>
      </c>
      <c r="K8" s="203">
        <f t="shared" si="5"/>
        <v>3340000</v>
      </c>
    </row>
    <row r="9" spans="1:11">
      <c r="A9" s="3">
        <v>7</v>
      </c>
      <c r="B9" s="4" t="s">
        <v>193</v>
      </c>
      <c r="C9" s="98" t="s">
        <v>126</v>
      </c>
      <c r="D9" s="4" t="s">
        <v>205</v>
      </c>
      <c r="E9" s="151" t="str">
        <f t="shared" si="0"/>
        <v>Tài vụ</v>
      </c>
      <c r="F9" s="194" t="str">
        <f t="shared" si="1"/>
        <v>30000</v>
      </c>
      <c r="G9" s="4">
        <v>25</v>
      </c>
      <c r="H9" s="194" t="str">
        <f t="shared" si="2"/>
        <v>2,75</v>
      </c>
      <c r="I9" s="202">
        <f t="shared" si="3"/>
        <v>3437500</v>
      </c>
      <c r="J9" s="194">
        <f t="shared" si="4"/>
        <v>75000</v>
      </c>
      <c r="K9" s="203">
        <f t="shared" si="5"/>
        <v>3542500</v>
      </c>
    </row>
    <row r="10" spans="1:11">
      <c r="A10" s="3">
        <v>8</v>
      </c>
      <c r="B10" s="4" t="s">
        <v>213</v>
      </c>
      <c r="C10" s="98" t="s">
        <v>125</v>
      </c>
      <c r="D10" s="4" t="s">
        <v>206</v>
      </c>
      <c r="E10" s="151" t="str">
        <f t="shared" si="0"/>
        <v>Đào tạo</v>
      </c>
      <c r="F10" s="194" t="str">
        <f t="shared" si="1"/>
        <v>50000</v>
      </c>
      <c r="G10" s="4">
        <v>15</v>
      </c>
      <c r="H10" s="194" t="str">
        <f t="shared" si="2"/>
        <v>2,5</v>
      </c>
      <c r="I10" s="202">
        <f t="shared" si="3"/>
        <v>1875000</v>
      </c>
      <c r="J10" s="194">
        <f t="shared" si="4"/>
        <v>-70000</v>
      </c>
      <c r="K10" s="203">
        <f t="shared" si="5"/>
        <v>1855000</v>
      </c>
    </row>
    <row r="11" spans="1:11">
      <c r="A11" s="3">
        <v>9</v>
      </c>
      <c r="B11" s="4" t="s">
        <v>192</v>
      </c>
      <c r="C11" s="98" t="s">
        <v>126</v>
      </c>
      <c r="D11" s="4" t="s">
        <v>207</v>
      </c>
      <c r="E11" s="151" t="str">
        <f t="shared" si="0"/>
        <v>Hành chính</v>
      </c>
      <c r="F11" s="194" t="str">
        <f t="shared" si="1"/>
        <v>40000</v>
      </c>
      <c r="G11" s="4">
        <v>30</v>
      </c>
      <c r="H11" s="194" t="str">
        <f t="shared" si="2"/>
        <v>2,75</v>
      </c>
      <c r="I11" s="202">
        <f t="shared" si="3"/>
        <v>4125000</v>
      </c>
      <c r="J11" s="194">
        <f t="shared" si="4"/>
        <v>200000</v>
      </c>
      <c r="K11" s="203">
        <f t="shared" si="5"/>
        <v>4365000</v>
      </c>
    </row>
    <row r="12" spans="1:11">
      <c r="A12" s="3">
        <v>10</v>
      </c>
      <c r="B12" s="4" t="s">
        <v>213</v>
      </c>
      <c r="C12" s="98" t="s">
        <v>124</v>
      </c>
      <c r="D12" s="4" t="s">
        <v>208</v>
      </c>
      <c r="E12" s="151" t="str">
        <f t="shared" si="0"/>
        <v>Đào tạo</v>
      </c>
      <c r="F12" s="194" t="str">
        <f t="shared" si="1"/>
        <v>50000</v>
      </c>
      <c r="G12" s="4">
        <v>24</v>
      </c>
      <c r="H12" s="194" t="str">
        <f t="shared" si="2"/>
        <v>3</v>
      </c>
      <c r="I12" s="202">
        <f t="shared" si="3"/>
        <v>3600000</v>
      </c>
      <c r="J12" s="194">
        <f t="shared" si="4"/>
        <v>50000</v>
      </c>
      <c r="K12" s="203">
        <f t="shared" si="5"/>
        <v>3700000</v>
      </c>
    </row>
    <row r="13" spans="1:11">
      <c r="A13" s="3">
        <v>11</v>
      </c>
      <c r="B13" s="4" t="s">
        <v>214</v>
      </c>
      <c r="C13" s="98" t="s">
        <v>125</v>
      </c>
      <c r="D13" s="4" t="s">
        <v>209</v>
      </c>
      <c r="E13" s="151" t="str">
        <f t="shared" si="0"/>
        <v>Vật tư</v>
      </c>
      <c r="F13" s="194" t="str">
        <f t="shared" si="1"/>
        <v>20000</v>
      </c>
      <c r="G13" s="4">
        <v>21</v>
      </c>
      <c r="H13" s="194" t="str">
        <f t="shared" si="2"/>
        <v>2,5</v>
      </c>
      <c r="I13" s="202">
        <f t="shared" si="3"/>
        <v>2625000</v>
      </c>
      <c r="J13" s="194" t="str">
        <f t="shared" si="4"/>
        <v>0</v>
      </c>
      <c r="K13" s="203">
        <f t="shared" si="5"/>
        <v>2645000</v>
      </c>
    </row>
    <row r="14" spans="1:11">
      <c r="A14" s="3">
        <v>12</v>
      </c>
      <c r="B14" s="4" t="s">
        <v>193</v>
      </c>
      <c r="C14" s="98" t="s">
        <v>124</v>
      </c>
      <c r="D14" s="4" t="s">
        <v>214</v>
      </c>
      <c r="E14" s="151" t="str">
        <f t="shared" si="0"/>
        <v>Tài vụ</v>
      </c>
      <c r="F14" s="194" t="str">
        <f t="shared" si="1"/>
        <v>30000</v>
      </c>
      <c r="G14" s="4">
        <v>18</v>
      </c>
      <c r="H14" s="194" t="str">
        <f t="shared" si="2"/>
        <v>3</v>
      </c>
      <c r="I14" s="202">
        <f t="shared" si="3"/>
        <v>2700000</v>
      </c>
      <c r="J14" s="194">
        <f t="shared" si="4"/>
        <v>-40000</v>
      </c>
      <c r="K14" s="203">
        <f t="shared" si="5"/>
        <v>2690000</v>
      </c>
    </row>
    <row r="16" spans="1:11">
      <c r="B16" s="233" t="s">
        <v>210</v>
      </c>
      <c r="C16" s="233"/>
      <c r="D16" s="233"/>
      <c r="E16" s="233"/>
      <c r="F16" s="233"/>
    </row>
    <row r="17" spans="2:10">
      <c r="B17" s="71" t="s">
        <v>467</v>
      </c>
      <c r="C17" s="4" t="s">
        <v>213</v>
      </c>
      <c r="D17" s="4" t="s">
        <v>192</v>
      </c>
      <c r="E17" s="4" t="s">
        <v>193</v>
      </c>
      <c r="F17" s="4" t="s">
        <v>214</v>
      </c>
      <c r="H17" s="91" t="s">
        <v>470</v>
      </c>
      <c r="I17" s="91"/>
      <c r="J17" s="91"/>
    </row>
    <row r="18" spans="2:10">
      <c r="B18" s="4" t="s">
        <v>212</v>
      </c>
      <c r="C18" s="4" t="s">
        <v>215</v>
      </c>
      <c r="D18" s="4" t="s">
        <v>216</v>
      </c>
      <c r="E18" s="4" t="s">
        <v>217</v>
      </c>
      <c r="F18" s="4" t="s">
        <v>218</v>
      </c>
      <c r="H18" s="91" t="s">
        <v>471</v>
      </c>
      <c r="I18" s="91"/>
      <c r="J18" s="91"/>
    </row>
    <row r="19" spans="2:10">
      <c r="B19" s="71" t="s">
        <v>469</v>
      </c>
      <c r="C19" s="4">
        <v>50000</v>
      </c>
      <c r="D19" s="4">
        <v>40000</v>
      </c>
      <c r="E19" s="4">
        <v>30000</v>
      </c>
      <c r="F19" s="4">
        <v>20000</v>
      </c>
      <c r="H19" s="91" t="s">
        <v>472</v>
      </c>
      <c r="I19" s="91"/>
      <c r="J19" s="91"/>
    </row>
    <row r="20" spans="2:10">
      <c r="D20" s="99"/>
      <c r="H20" s="91" t="s">
        <v>473</v>
      </c>
      <c r="I20" s="91"/>
      <c r="J20" s="91"/>
    </row>
    <row r="21" spans="2:10">
      <c r="B21" s="233" t="s">
        <v>219</v>
      </c>
      <c r="C21" s="233"/>
      <c r="D21" s="100"/>
      <c r="E21" s="240" t="s">
        <v>447</v>
      </c>
      <c r="F21" s="241"/>
      <c r="H21" s="91"/>
      <c r="I21" s="91" t="s">
        <v>474</v>
      </c>
      <c r="J21" s="91"/>
    </row>
    <row r="22" spans="2:10">
      <c r="B22" s="71" t="s">
        <v>468</v>
      </c>
      <c r="C22" s="71" t="s">
        <v>138</v>
      </c>
      <c r="E22" s="239" t="s">
        <v>478</v>
      </c>
      <c r="F22" s="239" t="s">
        <v>479</v>
      </c>
      <c r="H22" s="91"/>
      <c r="I22" s="91" t="s">
        <v>475</v>
      </c>
      <c r="J22" s="91"/>
    </row>
    <row r="23" spans="2:10">
      <c r="B23" s="4" t="s">
        <v>124</v>
      </c>
      <c r="C23" s="4">
        <v>3</v>
      </c>
      <c r="E23" s="239"/>
      <c r="F23" s="239"/>
      <c r="H23" s="91"/>
      <c r="I23" s="91"/>
      <c r="J23" s="91"/>
    </row>
    <row r="24" spans="2:10">
      <c r="B24" s="4" t="s">
        <v>125</v>
      </c>
      <c r="C24" s="4">
        <v>2.5</v>
      </c>
      <c r="E24" s="4" t="s">
        <v>215</v>
      </c>
      <c r="F24" s="203">
        <f>SUMIF($E$3:$E$14,E24,$K$3:$K$14)</f>
        <v>11237500</v>
      </c>
    </row>
    <row r="25" spans="2:10">
      <c r="B25" s="4" t="s">
        <v>126</v>
      </c>
      <c r="C25" s="4">
        <v>2.75</v>
      </c>
      <c r="E25" s="4" t="s">
        <v>216</v>
      </c>
      <c r="F25" s="203">
        <f t="shared" ref="F25:F27" si="6">SUMIF($E$3:$E$14,E25,$K$3:$K$14)</f>
        <v>9550000</v>
      </c>
    </row>
    <row r="26" spans="2:10">
      <c r="E26" s="4" t="s">
        <v>217</v>
      </c>
      <c r="F26" s="203">
        <f t="shared" si="6"/>
        <v>6232500</v>
      </c>
    </row>
    <row r="27" spans="2:10">
      <c r="E27" s="4" t="s">
        <v>218</v>
      </c>
      <c r="F27" s="203">
        <f t="shared" si="6"/>
        <v>9835000</v>
      </c>
    </row>
  </sheetData>
  <mergeCells count="5">
    <mergeCell ref="B16:F16"/>
    <mergeCell ref="B21:C21"/>
    <mergeCell ref="E22:E23"/>
    <mergeCell ref="F22:F23"/>
    <mergeCell ref="E21:F21"/>
  </mergeCells>
  <phoneticPr fontId="6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N30"/>
  <sheetViews>
    <sheetView workbookViewId="0">
      <selection activeCell="H3" sqref="H3"/>
    </sheetView>
  </sheetViews>
  <sheetFormatPr baseColWidth="10" defaultColWidth="8.83203125" defaultRowHeight="13"/>
  <cols>
    <col min="1" max="1" width="6.5" customWidth="1"/>
    <col min="2" max="2" width="12.5" bestFit="1" customWidth="1"/>
    <col min="3" max="3" width="8" bestFit="1" customWidth="1"/>
    <col min="4" max="4" width="5.1640625" bestFit="1" customWidth="1"/>
    <col min="5" max="5" width="5.5" bestFit="1" customWidth="1"/>
    <col min="6" max="6" width="10.33203125" bestFit="1" customWidth="1"/>
    <col min="7" max="7" width="11.33203125" customWidth="1"/>
    <col min="8" max="8" width="11.1640625" customWidth="1"/>
    <col min="9" max="9" width="13.83203125" bestFit="1" customWidth="1"/>
    <col min="13" max="13" width="10.1640625" bestFit="1" customWidth="1"/>
  </cols>
  <sheetData>
    <row r="1" spans="1:14" ht="15">
      <c r="A1" s="146" t="s">
        <v>611</v>
      </c>
      <c r="B1" s="146"/>
      <c r="C1" s="146"/>
      <c r="D1" s="146"/>
      <c r="E1" s="146"/>
      <c r="F1" s="146"/>
      <c r="G1" s="146"/>
      <c r="H1" s="146"/>
      <c r="I1" s="146"/>
    </row>
    <row r="2" spans="1:14" ht="15">
      <c r="A2" s="149" t="s">
        <v>45</v>
      </c>
      <c r="B2" s="149" t="s">
        <v>612</v>
      </c>
      <c r="C2" s="149" t="s">
        <v>613</v>
      </c>
      <c r="D2" s="149" t="s">
        <v>614</v>
      </c>
      <c r="E2" s="149" t="s">
        <v>615</v>
      </c>
      <c r="F2" s="149" t="s">
        <v>616</v>
      </c>
      <c r="G2" s="149" t="s">
        <v>617</v>
      </c>
      <c r="H2" s="149" t="s">
        <v>618</v>
      </c>
      <c r="I2" s="149" t="s">
        <v>619</v>
      </c>
    </row>
    <row r="3" spans="1:14" ht="15">
      <c r="A3" s="149">
        <v>1</v>
      </c>
      <c r="B3" s="149" t="s">
        <v>620</v>
      </c>
      <c r="C3" s="149" t="s">
        <v>621</v>
      </c>
      <c r="D3" s="149" t="s">
        <v>289</v>
      </c>
      <c r="E3" s="149" t="s">
        <v>622</v>
      </c>
      <c r="F3" s="149" t="s">
        <v>623</v>
      </c>
      <c r="G3" s="211" t="str">
        <f>IF(F3="THA","300000",IF(F3="THB","500000",IF(F3="KTV","1200000")))</f>
        <v>300000</v>
      </c>
      <c r="H3" s="213"/>
      <c r="I3" s="212">
        <f>G3-(G3*H3)</f>
        <v>300000</v>
      </c>
    </row>
    <row r="4" spans="1:14" ht="15">
      <c r="A4" s="149">
        <v>2</v>
      </c>
      <c r="B4" s="149" t="s">
        <v>624</v>
      </c>
      <c r="C4" s="149" t="s">
        <v>625</v>
      </c>
      <c r="D4" s="149" t="s">
        <v>289</v>
      </c>
      <c r="E4" s="149" t="s">
        <v>622</v>
      </c>
      <c r="F4" s="149" t="s">
        <v>626</v>
      </c>
      <c r="G4" s="211" t="str">
        <f t="shared" ref="G4:G11" si="0">IF(F4="THA","300000",IF(F4="THB","500000",IF(F4="KTV","1200000")))</f>
        <v>1200000</v>
      </c>
      <c r="H4" s="213"/>
      <c r="I4" s="212">
        <f t="shared" ref="I4:I11" si="1">G4-(G4*H4)</f>
        <v>1200000</v>
      </c>
    </row>
    <row r="5" spans="1:14" ht="15">
      <c r="A5" s="149">
        <v>3</v>
      </c>
      <c r="B5" s="149" t="s">
        <v>627</v>
      </c>
      <c r="C5" s="149" t="s">
        <v>628</v>
      </c>
      <c r="D5" s="149" t="s">
        <v>289</v>
      </c>
      <c r="E5" s="149" t="s">
        <v>629</v>
      </c>
      <c r="F5" s="149" t="s">
        <v>623</v>
      </c>
      <c r="G5" s="211" t="str">
        <f t="shared" si="0"/>
        <v>300000</v>
      </c>
      <c r="H5" s="213"/>
      <c r="I5" s="212">
        <f t="shared" si="1"/>
        <v>300000</v>
      </c>
    </row>
    <row r="6" spans="1:14" ht="17">
      <c r="A6" s="149">
        <v>4</v>
      </c>
      <c r="B6" s="149" t="s">
        <v>630</v>
      </c>
      <c r="C6" s="149" t="s">
        <v>631</v>
      </c>
      <c r="D6" s="149" t="s">
        <v>289</v>
      </c>
      <c r="E6" s="149" t="s">
        <v>632</v>
      </c>
      <c r="F6" s="149" t="s">
        <v>633</v>
      </c>
      <c r="G6" s="211" t="str">
        <f t="shared" si="0"/>
        <v>500000</v>
      </c>
      <c r="H6" s="213"/>
      <c r="I6" s="212">
        <f t="shared" si="1"/>
        <v>500000</v>
      </c>
      <c r="L6" s="21"/>
      <c r="M6" s="214"/>
    </row>
    <row r="7" spans="1:14" ht="17">
      <c r="A7" s="149">
        <v>5</v>
      </c>
      <c r="B7" s="149" t="s">
        <v>634</v>
      </c>
      <c r="C7" s="149" t="s">
        <v>324</v>
      </c>
      <c r="D7" s="149" t="s">
        <v>289</v>
      </c>
      <c r="E7" s="149" t="s">
        <v>622</v>
      </c>
      <c r="F7" s="149" t="s">
        <v>623</v>
      </c>
      <c r="G7" s="211" t="str">
        <f t="shared" si="0"/>
        <v>300000</v>
      </c>
      <c r="H7" s="213"/>
      <c r="I7" s="212">
        <f t="shared" si="1"/>
        <v>300000</v>
      </c>
      <c r="M7" s="214"/>
    </row>
    <row r="8" spans="1:14" ht="17">
      <c r="A8" s="149">
        <v>6</v>
      </c>
      <c r="B8" s="149" t="s">
        <v>635</v>
      </c>
      <c r="C8" s="149" t="s">
        <v>636</v>
      </c>
      <c r="D8" s="149" t="s">
        <v>335</v>
      </c>
      <c r="E8" s="149" t="s">
        <v>632</v>
      </c>
      <c r="F8" s="149" t="s">
        <v>626</v>
      </c>
      <c r="G8" s="211" t="str">
        <f t="shared" si="0"/>
        <v>1200000</v>
      </c>
      <c r="H8" s="213"/>
      <c r="I8" s="212">
        <f t="shared" si="1"/>
        <v>1200000</v>
      </c>
      <c r="M8" s="214"/>
    </row>
    <row r="9" spans="1:14" ht="15">
      <c r="A9" s="149">
        <v>7</v>
      </c>
      <c r="B9" s="149" t="s">
        <v>637</v>
      </c>
      <c r="C9" s="149" t="s">
        <v>324</v>
      </c>
      <c r="D9" s="149" t="s">
        <v>335</v>
      </c>
      <c r="E9" s="149" t="s">
        <v>622</v>
      </c>
      <c r="F9" s="149" t="s">
        <v>623</v>
      </c>
      <c r="G9" s="211" t="str">
        <f t="shared" si="0"/>
        <v>300000</v>
      </c>
      <c r="H9" s="213"/>
      <c r="I9" s="212">
        <f t="shared" si="1"/>
        <v>300000</v>
      </c>
    </row>
    <row r="10" spans="1:14" ht="15">
      <c r="A10" s="149">
        <v>8</v>
      </c>
      <c r="B10" s="149" t="s">
        <v>228</v>
      </c>
      <c r="C10" s="149" t="s">
        <v>638</v>
      </c>
      <c r="D10" s="149" t="s">
        <v>289</v>
      </c>
      <c r="E10" s="149" t="s">
        <v>629</v>
      </c>
      <c r="F10" s="149" t="s">
        <v>633</v>
      </c>
      <c r="G10" s="211" t="str">
        <f t="shared" si="0"/>
        <v>500000</v>
      </c>
      <c r="H10" s="213"/>
      <c r="I10" s="212">
        <f t="shared" si="1"/>
        <v>500000</v>
      </c>
    </row>
    <row r="11" spans="1:14" ht="15">
      <c r="A11" s="149">
        <v>9</v>
      </c>
      <c r="B11" s="149" t="s">
        <v>639</v>
      </c>
      <c r="C11" s="149" t="s">
        <v>640</v>
      </c>
      <c r="D11" s="149" t="s">
        <v>335</v>
      </c>
      <c r="E11" s="149" t="s">
        <v>629</v>
      </c>
      <c r="F11" s="149" t="s">
        <v>633</v>
      </c>
      <c r="G11" s="211" t="str">
        <f t="shared" si="0"/>
        <v>500000</v>
      </c>
      <c r="H11" s="213"/>
      <c r="I11" s="212">
        <f t="shared" si="1"/>
        <v>500000</v>
      </c>
    </row>
    <row r="12" spans="1:14" ht="15">
      <c r="A12" s="149" t="s">
        <v>641</v>
      </c>
      <c r="B12" s="149"/>
      <c r="C12" s="149"/>
      <c r="D12" s="149"/>
      <c r="E12" s="149"/>
      <c r="F12" s="149"/>
      <c r="G12" s="212">
        <f>SUM(G3:G11)</f>
        <v>0</v>
      </c>
      <c r="H12" s="149"/>
      <c r="I12" s="212">
        <f>SUM(I3:I11)</f>
        <v>5100000</v>
      </c>
    </row>
    <row r="13" spans="1:14" ht="15">
      <c r="A13" s="146"/>
      <c r="B13" s="146"/>
      <c r="C13" s="146"/>
      <c r="D13" s="146"/>
      <c r="E13" s="146"/>
      <c r="F13" s="146"/>
      <c r="G13" s="146"/>
      <c r="H13" s="146"/>
      <c r="I13" s="146"/>
      <c r="M13" s="215"/>
    </row>
    <row r="14" spans="1:14" ht="15">
      <c r="A14" s="146" t="s">
        <v>642</v>
      </c>
      <c r="B14" s="146"/>
      <c r="C14" s="146"/>
      <c r="D14" s="146"/>
      <c r="E14" s="146"/>
      <c r="F14" s="146" t="s">
        <v>643</v>
      </c>
      <c r="G14" s="146"/>
      <c r="H14" s="146"/>
      <c r="I14" s="146"/>
    </row>
    <row r="15" spans="1:14" ht="15">
      <c r="A15" s="204" t="s">
        <v>623</v>
      </c>
      <c r="B15" s="204" t="s">
        <v>644</v>
      </c>
      <c r="C15" s="204">
        <v>300000</v>
      </c>
      <c r="D15" s="146"/>
      <c r="E15" s="146"/>
      <c r="F15" s="205" t="s">
        <v>615</v>
      </c>
      <c r="G15" s="205" t="s">
        <v>622</v>
      </c>
      <c r="H15" s="205" t="s">
        <v>632</v>
      </c>
      <c r="I15" s="205" t="s">
        <v>629</v>
      </c>
      <c r="N15" s="21"/>
    </row>
    <row r="16" spans="1:14" ht="15">
      <c r="A16" s="204" t="s">
        <v>633</v>
      </c>
      <c r="B16" s="204" t="s">
        <v>645</v>
      </c>
      <c r="C16" s="204">
        <v>500000</v>
      </c>
      <c r="D16" s="146"/>
      <c r="E16" s="146"/>
      <c r="F16" s="205" t="s">
        <v>646</v>
      </c>
      <c r="G16" s="206">
        <v>0.1</v>
      </c>
      <c r="H16" s="206">
        <v>0.2</v>
      </c>
      <c r="I16" s="206">
        <v>0</v>
      </c>
    </row>
    <row r="17" spans="1:9" ht="15">
      <c r="A17" s="204" t="s">
        <v>626</v>
      </c>
      <c r="B17" s="204" t="s">
        <v>647</v>
      </c>
      <c r="C17" s="204">
        <v>1200000</v>
      </c>
      <c r="D17" s="146"/>
      <c r="E17" s="146"/>
      <c r="F17" s="146"/>
      <c r="G17" s="146"/>
      <c r="H17" s="146"/>
      <c r="I17" s="146"/>
    </row>
    <row r="18" spans="1:9" ht="15">
      <c r="A18" s="146"/>
      <c r="B18" s="146"/>
      <c r="C18" s="146"/>
      <c r="D18" s="146"/>
      <c r="E18" s="146"/>
      <c r="F18" s="149" t="s">
        <v>648</v>
      </c>
      <c r="G18" s="149" t="s">
        <v>623</v>
      </c>
      <c r="H18" s="149" t="s">
        <v>633</v>
      </c>
      <c r="I18" s="149" t="s">
        <v>626</v>
      </c>
    </row>
    <row r="19" spans="1:9" ht="15">
      <c r="A19" s="146"/>
      <c r="B19" s="146"/>
      <c r="C19" s="146"/>
      <c r="D19" s="146"/>
      <c r="E19" s="146"/>
      <c r="F19" s="149" t="s">
        <v>507</v>
      </c>
      <c r="G19" s="207">
        <f>I3+I5+I7+I9</f>
        <v>1200000</v>
      </c>
      <c r="H19" s="207">
        <f>I6+I10+I11</f>
        <v>1500000</v>
      </c>
      <c r="I19" s="207">
        <f>I4+I8</f>
        <v>2400000</v>
      </c>
    </row>
    <row r="20" spans="1:9" ht="15">
      <c r="A20" s="146"/>
      <c r="B20" s="146"/>
      <c r="C20" s="146"/>
      <c r="D20" s="146"/>
      <c r="E20" s="146"/>
      <c r="F20" s="146"/>
      <c r="G20" s="146"/>
      <c r="H20" s="146"/>
      <c r="I20" s="146"/>
    </row>
    <row r="21" spans="1:9" ht="15">
      <c r="A21" s="147" t="s">
        <v>649</v>
      </c>
      <c r="B21" s="146"/>
      <c r="C21" s="146"/>
      <c r="D21" s="146"/>
      <c r="E21" s="146"/>
      <c r="F21" s="146"/>
      <c r="G21" s="146"/>
      <c r="H21" s="146"/>
      <c r="I21" s="146"/>
    </row>
    <row r="22" spans="1:9" ht="15">
      <c r="A22" s="148" t="s">
        <v>650</v>
      </c>
      <c r="B22" s="146"/>
      <c r="C22" s="146"/>
      <c r="D22" s="146"/>
      <c r="E22" s="146"/>
      <c r="F22" s="146"/>
      <c r="G22" s="146"/>
      <c r="H22" s="146"/>
      <c r="I22" s="146"/>
    </row>
    <row r="23" spans="1:9" ht="15">
      <c r="A23" s="148" t="s">
        <v>651</v>
      </c>
      <c r="B23" s="146"/>
      <c r="C23" s="146"/>
      <c r="D23" s="146"/>
      <c r="E23" s="146"/>
      <c r="F23" s="146"/>
      <c r="G23" s="146"/>
      <c r="H23" s="146"/>
      <c r="I23" s="146"/>
    </row>
    <row r="24" spans="1:9" ht="15">
      <c r="A24" s="148" t="s">
        <v>652</v>
      </c>
      <c r="B24" s="146"/>
      <c r="C24" s="146"/>
      <c r="D24" s="146"/>
      <c r="E24" s="146"/>
      <c r="F24" s="146"/>
      <c r="G24" s="146"/>
      <c r="H24" s="146"/>
      <c r="I24" s="146"/>
    </row>
    <row r="25" spans="1:9" ht="15">
      <c r="A25" s="148" t="s">
        <v>653</v>
      </c>
      <c r="B25" s="146"/>
      <c r="C25" s="146"/>
      <c r="D25" s="146"/>
      <c r="E25" s="146"/>
      <c r="F25" s="146"/>
      <c r="G25" s="146"/>
      <c r="H25" s="146"/>
      <c r="I25" s="146"/>
    </row>
    <row r="26" spans="1:9" ht="15">
      <c r="A26" s="148" t="s">
        <v>654</v>
      </c>
      <c r="B26" s="146"/>
      <c r="C26" s="146"/>
      <c r="D26" s="146"/>
      <c r="E26" s="146"/>
      <c r="F26" s="146"/>
      <c r="G26" s="146"/>
      <c r="H26" s="146"/>
      <c r="I26" s="146"/>
    </row>
    <row r="27" spans="1:9" ht="15">
      <c r="A27" s="148" t="s">
        <v>655</v>
      </c>
      <c r="B27" s="146"/>
      <c r="C27" s="146"/>
      <c r="D27" s="146"/>
      <c r="E27" s="146"/>
      <c r="F27" s="146"/>
      <c r="G27" s="146"/>
      <c r="H27" s="146"/>
      <c r="I27" s="146"/>
    </row>
    <row r="28" spans="1:9" ht="15">
      <c r="A28" s="148" t="s">
        <v>656</v>
      </c>
      <c r="B28" s="146"/>
      <c r="C28" s="146"/>
      <c r="D28" s="146"/>
      <c r="E28" s="146"/>
      <c r="F28" s="146"/>
      <c r="G28" s="146"/>
      <c r="H28" s="146"/>
      <c r="I28" s="146"/>
    </row>
    <row r="29" spans="1:9" ht="15">
      <c r="A29" s="148" t="s">
        <v>657</v>
      </c>
      <c r="B29" s="146"/>
      <c r="C29" s="146"/>
      <c r="D29" s="146"/>
      <c r="E29" s="146"/>
      <c r="F29" s="146"/>
      <c r="G29" s="146"/>
      <c r="H29" s="146"/>
      <c r="I29" s="146"/>
    </row>
    <row r="30" spans="1:9" ht="15">
      <c r="A30" s="148" t="s">
        <v>658</v>
      </c>
      <c r="B30" s="146"/>
      <c r="C30" s="146"/>
      <c r="D30" s="146"/>
      <c r="E30" s="146"/>
      <c r="F30" s="146"/>
      <c r="G30" s="146"/>
      <c r="H30" s="146"/>
      <c r="I30" s="146"/>
    </row>
  </sheetData>
  <phoneticPr fontId="6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J20"/>
  <sheetViews>
    <sheetView zoomScale="160" workbookViewId="0">
      <selection activeCell="I16" sqref="I16"/>
    </sheetView>
  </sheetViews>
  <sheetFormatPr baseColWidth="10" defaultColWidth="8.83203125" defaultRowHeight="13"/>
  <cols>
    <col min="1" max="1" width="7.6640625" customWidth="1"/>
    <col min="2" max="2" width="16.33203125" bestFit="1" customWidth="1"/>
    <col min="3" max="3" width="15.5" customWidth="1"/>
    <col min="5" max="5" width="11.5" customWidth="1"/>
    <col min="6" max="6" width="9.1640625" customWidth="1"/>
    <col min="7" max="7" width="10.5" customWidth="1"/>
    <col min="8" max="8" width="14.5" customWidth="1"/>
    <col min="9" max="9" width="10.5" customWidth="1"/>
  </cols>
  <sheetData>
    <row r="1" spans="1:10" ht="16">
      <c r="B1" s="218" t="s">
        <v>221</v>
      </c>
      <c r="C1" s="218"/>
      <c r="D1" s="218"/>
      <c r="E1" s="218"/>
      <c r="F1" s="218"/>
      <c r="G1" s="218"/>
      <c r="H1" s="218"/>
      <c r="I1" s="218"/>
      <c r="J1" s="218"/>
    </row>
    <row r="2" spans="1:10" ht="16">
      <c r="B2" s="10"/>
      <c r="C2" s="218"/>
      <c r="D2" s="218"/>
      <c r="E2" s="218"/>
      <c r="F2" s="218"/>
      <c r="G2" s="218"/>
      <c r="H2" s="6"/>
      <c r="I2" s="6"/>
      <c r="J2" s="10"/>
    </row>
    <row r="3" spans="1:10" ht="28">
      <c r="A3" s="8" t="s">
        <v>45</v>
      </c>
      <c r="B3" s="9" t="s">
        <v>222</v>
      </c>
      <c r="C3" s="245" t="s">
        <v>135</v>
      </c>
      <c r="D3" s="246"/>
      <c r="E3" s="8" t="s">
        <v>224</v>
      </c>
      <c r="F3" s="8" t="s">
        <v>183</v>
      </c>
      <c r="G3" s="104" t="s">
        <v>480</v>
      </c>
      <c r="H3" s="8" t="s">
        <v>239</v>
      </c>
      <c r="I3" s="8" t="s">
        <v>243</v>
      </c>
      <c r="J3" s="9" t="s">
        <v>159</v>
      </c>
    </row>
    <row r="4" spans="1:10">
      <c r="A4" s="4">
        <v>1</v>
      </c>
      <c r="B4" s="71" t="s">
        <v>481</v>
      </c>
      <c r="C4" s="4" t="s">
        <v>225</v>
      </c>
      <c r="D4" s="4" t="s">
        <v>167</v>
      </c>
      <c r="E4" s="7">
        <v>30969</v>
      </c>
      <c r="F4" s="216">
        <f ca="1">(TODAY()-E4)/365</f>
        <v>37.88219178082192</v>
      </c>
      <c r="G4" s="4" t="str">
        <f>LEFT(B4,2)</f>
        <v>TH</v>
      </c>
      <c r="H4" s="151" t="str">
        <f>IF(G4="TH","Tin quản lý",IF(G4="DL","Du lịch",IF(G4="CN","Công nghệ hoá",IF(G4="TK","Thiết kế thời trang"))))</f>
        <v>Tin quản lý</v>
      </c>
      <c r="I4" s="11" t="str">
        <f>RIGHT(B4,1)</f>
        <v>A</v>
      </c>
      <c r="J4" s="194" t="str">
        <f>IF(MID(B4,4,2)="01","240000",IF(MID(B4,4,2)="02","120000","0"))</f>
        <v>240000</v>
      </c>
    </row>
    <row r="5" spans="1:10">
      <c r="A5" s="4">
        <v>2</v>
      </c>
      <c r="B5" s="71" t="s">
        <v>482</v>
      </c>
      <c r="C5" s="4" t="s">
        <v>226</v>
      </c>
      <c r="D5" s="4" t="s">
        <v>233</v>
      </c>
      <c r="E5" s="7">
        <v>31330</v>
      </c>
      <c r="F5" s="216">
        <f t="shared" ref="F5:F12" ca="1" si="0">(TODAY()-E5)/365</f>
        <v>36.893150684931506</v>
      </c>
      <c r="G5" s="4" t="str">
        <f t="shared" ref="G5:G12" si="1">LEFT(B5,2)</f>
        <v>TH</v>
      </c>
      <c r="H5" s="151" t="str">
        <f t="shared" ref="H5:H12" si="2">IF(G5="TH","Tin quản lý",IF(G5="DL","Du lịch",IF(G5="CN","Công nghệ hoá",IF(G5="TK","Thiết kế thời trang"))))</f>
        <v>Tin quản lý</v>
      </c>
      <c r="I5" s="11" t="str">
        <f t="shared" ref="I5:I12" si="3">RIGHT(B5,1)</f>
        <v>B</v>
      </c>
      <c r="J5" s="194" t="str">
        <f t="shared" ref="J5:J12" si="4">IF(MID(B5,4,2)="01","240000",IF(MID(B5,4,2)="02","120000","0"))</f>
        <v>120000</v>
      </c>
    </row>
    <row r="6" spans="1:10">
      <c r="A6" s="4">
        <v>3</v>
      </c>
      <c r="B6" s="71" t="s">
        <v>483</v>
      </c>
      <c r="C6" s="4" t="s">
        <v>227</v>
      </c>
      <c r="D6" s="4" t="s">
        <v>176</v>
      </c>
      <c r="E6" s="7">
        <v>30369</v>
      </c>
      <c r="F6" s="216">
        <f t="shared" ca="1" si="0"/>
        <v>39.526027397260272</v>
      </c>
      <c r="G6" s="4" t="str">
        <f t="shared" si="1"/>
        <v>DL</v>
      </c>
      <c r="H6" s="151" t="str">
        <f t="shared" si="2"/>
        <v>Du lịch</v>
      </c>
      <c r="I6" s="11" t="str">
        <f t="shared" si="3"/>
        <v>A</v>
      </c>
      <c r="J6" s="194" t="str">
        <f t="shared" si="4"/>
        <v>240000</v>
      </c>
    </row>
    <row r="7" spans="1:10">
      <c r="A7" s="4">
        <v>4</v>
      </c>
      <c r="B7" s="71" t="s">
        <v>484</v>
      </c>
      <c r="C7" s="4" t="s">
        <v>228</v>
      </c>
      <c r="D7" s="4" t="s">
        <v>234</v>
      </c>
      <c r="E7" s="7">
        <v>30690</v>
      </c>
      <c r="F7" s="216">
        <f t="shared" ca="1" si="0"/>
        <v>38.646575342465752</v>
      </c>
      <c r="G7" s="4" t="str">
        <f t="shared" si="1"/>
        <v>TK</v>
      </c>
      <c r="H7" s="151" t="str">
        <f t="shared" si="2"/>
        <v>Thiết kế thời trang</v>
      </c>
      <c r="I7" s="11" t="str">
        <f t="shared" si="3"/>
        <v>A</v>
      </c>
      <c r="J7" s="194" t="str">
        <f t="shared" si="4"/>
        <v>120000</v>
      </c>
    </row>
    <row r="8" spans="1:10">
      <c r="A8" s="4">
        <v>5</v>
      </c>
      <c r="B8" s="71" t="s">
        <v>485</v>
      </c>
      <c r="C8" s="4" t="s">
        <v>229</v>
      </c>
      <c r="D8" s="4" t="s">
        <v>187</v>
      </c>
      <c r="E8" s="7">
        <v>31473</v>
      </c>
      <c r="F8" s="216">
        <f t="shared" ca="1" si="0"/>
        <v>36.5013698630137</v>
      </c>
      <c r="G8" s="4" t="str">
        <f t="shared" si="1"/>
        <v>TK</v>
      </c>
      <c r="H8" s="151" t="str">
        <f t="shared" si="2"/>
        <v>Thiết kế thời trang</v>
      </c>
      <c r="I8" s="11" t="str">
        <f t="shared" si="3"/>
        <v>B</v>
      </c>
      <c r="J8" s="194" t="str">
        <f t="shared" si="4"/>
        <v>0</v>
      </c>
    </row>
    <row r="9" spans="1:10">
      <c r="A9" s="4">
        <v>6</v>
      </c>
      <c r="B9" s="71" t="s">
        <v>486</v>
      </c>
      <c r="C9" s="4" t="s">
        <v>230</v>
      </c>
      <c r="D9" s="4" t="s">
        <v>235</v>
      </c>
      <c r="E9" s="7">
        <v>30797</v>
      </c>
      <c r="F9" s="216">
        <f t="shared" ca="1" si="0"/>
        <v>38.353424657534248</v>
      </c>
      <c r="G9" s="4" t="str">
        <f t="shared" si="1"/>
        <v>CN</v>
      </c>
      <c r="H9" s="151" t="str">
        <f t="shared" si="2"/>
        <v>Công nghệ hoá</v>
      </c>
      <c r="I9" s="11" t="str">
        <f t="shared" si="3"/>
        <v>B</v>
      </c>
      <c r="J9" s="194" t="str">
        <f t="shared" si="4"/>
        <v>240000</v>
      </c>
    </row>
    <row r="10" spans="1:10">
      <c r="A10" s="4">
        <v>7</v>
      </c>
      <c r="B10" s="71" t="s">
        <v>487</v>
      </c>
      <c r="C10" s="4" t="s">
        <v>231</v>
      </c>
      <c r="D10" s="4" t="s">
        <v>236</v>
      </c>
      <c r="E10" s="7">
        <v>31330</v>
      </c>
      <c r="F10" s="216">
        <f t="shared" ca="1" si="0"/>
        <v>36.893150684931506</v>
      </c>
      <c r="G10" s="4" t="str">
        <f t="shared" si="1"/>
        <v>CN</v>
      </c>
      <c r="H10" s="151" t="str">
        <f t="shared" si="2"/>
        <v>Công nghệ hoá</v>
      </c>
      <c r="I10" s="11" t="str">
        <f t="shared" si="3"/>
        <v>A</v>
      </c>
      <c r="J10" s="194" t="str">
        <f t="shared" si="4"/>
        <v>0</v>
      </c>
    </row>
    <row r="11" spans="1:10">
      <c r="A11" s="4">
        <v>8</v>
      </c>
      <c r="B11" s="71" t="s">
        <v>488</v>
      </c>
      <c r="C11" s="4" t="s">
        <v>232</v>
      </c>
      <c r="D11" s="4" t="s">
        <v>169</v>
      </c>
      <c r="E11" s="7">
        <v>31111</v>
      </c>
      <c r="F11" s="216">
        <f t="shared" ca="1" si="0"/>
        <v>37.493150684931507</v>
      </c>
      <c r="G11" s="4" t="str">
        <f t="shared" si="1"/>
        <v>TH</v>
      </c>
      <c r="H11" s="151" t="str">
        <f t="shared" si="2"/>
        <v>Tin quản lý</v>
      </c>
      <c r="I11" s="11" t="str">
        <f t="shared" si="3"/>
        <v>C</v>
      </c>
      <c r="J11" s="194" t="str">
        <f t="shared" si="4"/>
        <v>0</v>
      </c>
    </row>
    <row r="12" spans="1:10">
      <c r="A12" s="4">
        <v>9</v>
      </c>
      <c r="B12" s="71" t="s">
        <v>489</v>
      </c>
      <c r="C12" s="4" t="s">
        <v>232</v>
      </c>
      <c r="D12" s="4" t="s">
        <v>237</v>
      </c>
      <c r="E12" s="7">
        <v>30842</v>
      </c>
      <c r="F12" s="216">
        <f t="shared" ca="1" si="0"/>
        <v>38.230136986301368</v>
      </c>
      <c r="G12" s="4" t="str">
        <f t="shared" si="1"/>
        <v>TK</v>
      </c>
      <c r="H12" s="151" t="str">
        <f t="shared" si="2"/>
        <v>Thiết kế thời trang</v>
      </c>
      <c r="I12" s="11" t="str">
        <f t="shared" si="3"/>
        <v>C</v>
      </c>
      <c r="J12" s="194" t="str">
        <f t="shared" si="4"/>
        <v>120000</v>
      </c>
    </row>
    <row r="14" spans="1:10" ht="18.75" customHeight="1">
      <c r="A14" s="242" t="s">
        <v>238</v>
      </c>
      <c r="B14" s="242"/>
    </row>
    <row r="15" spans="1:10" ht="18.75" customHeight="1">
      <c r="A15" s="243" t="s">
        <v>241</v>
      </c>
      <c r="B15" s="244" t="s">
        <v>239</v>
      </c>
      <c r="E15" s="91" t="s">
        <v>496</v>
      </c>
      <c r="F15" s="91"/>
    </row>
    <row r="16" spans="1:10" ht="19.5" customHeight="1">
      <c r="A16" s="244"/>
      <c r="B16" s="244"/>
      <c r="E16" s="91" t="s">
        <v>498</v>
      </c>
      <c r="F16" s="91"/>
    </row>
    <row r="17" spans="1:6">
      <c r="A17" s="71" t="s">
        <v>490</v>
      </c>
      <c r="B17" s="4" t="s">
        <v>240</v>
      </c>
      <c r="E17" s="93" t="s">
        <v>497</v>
      </c>
      <c r="F17" s="91"/>
    </row>
    <row r="18" spans="1:6">
      <c r="A18" s="71" t="s">
        <v>491</v>
      </c>
      <c r="B18" s="4" t="s">
        <v>242</v>
      </c>
      <c r="E18" s="93" t="s">
        <v>499</v>
      </c>
    </row>
    <row r="19" spans="1:6">
      <c r="A19" s="71" t="s">
        <v>492</v>
      </c>
      <c r="B19" s="71" t="s">
        <v>495</v>
      </c>
    </row>
    <row r="20" spans="1:6">
      <c r="A20" s="71" t="s">
        <v>493</v>
      </c>
      <c r="B20" s="71" t="s">
        <v>494</v>
      </c>
    </row>
  </sheetData>
  <mergeCells count="6">
    <mergeCell ref="B1:J1"/>
    <mergeCell ref="C2:G2"/>
    <mergeCell ref="A14:B14"/>
    <mergeCell ref="A15:A16"/>
    <mergeCell ref="B15:B16"/>
    <mergeCell ref="C3:D3"/>
  </mergeCells>
  <phoneticPr fontId="6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G24"/>
  <sheetViews>
    <sheetView zoomScale="133" workbookViewId="0">
      <selection activeCell="F10" sqref="F10"/>
    </sheetView>
  </sheetViews>
  <sheetFormatPr baseColWidth="10" defaultColWidth="8.83203125" defaultRowHeight="13"/>
  <cols>
    <col min="3" max="3" width="19.33203125" customWidth="1"/>
    <col min="4" max="4" width="10.1640625" customWidth="1"/>
    <col min="5" max="5" width="10" customWidth="1"/>
    <col min="6" max="6" width="10.5" customWidth="1"/>
    <col min="7" max="7" width="9.6640625" customWidth="1"/>
  </cols>
  <sheetData>
    <row r="1" spans="1:7" ht="16">
      <c r="C1" s="218" t="s">
        <v>244</v>
      </c>
      <c r="D1" s="219"/>
      <c r="E1" s="219"/>
    </row>
    <row r="2" spans="1:7">
      <c r="A2" s="3" t="s">
        <v>45</v>
      </c>
      <c r="B2" s="3" t="s">
        <v>245</v>
      </c>
      <c r="C2" s="3" t="s">
        <v>46</v>
      </c>
      <c r="D2" s="3" t="s">
        <v>246</v>
      </c>
      <c r="E2" s="3" t="s">
        <v>247</v>
      </c>
      <c r="F2" s="3" t="s">
        <v>248</v>
      </c>
      <c r="G2" s="3" t="s">
        <v>101</v>
      </c>
    </row>
    <row r="3" spans="1:7">
      <c r="A3" s="3">
        <v>1</v>
      </c>
      <c r="B3" s="4" t="s">
        <v>249</v>
      </c>
      <c r="C3" s="4" t="s">
        <v>260</v>
      </c>
      <c r="D3" s="4" t="str">
        <f>HLOOKUP(LEFT(B3,1),$E$19:$G$20,2,0)</f>
        <v>Kế hoạch</v>
      </c>
      <c r="E3" s="3" t="s">
        <v>273</v>
      </c>
      <c r="F3" s="4">
        <f>VLOOKUP(E3,$A$20:$B$24,2,0)</f>
        <v>50000</v>
      </c>
      <c r="G3" s="4"/>
    </row>
    <row r="4" spans="1:7">
      <c r="A4" s="3">
        <v>2</v>
      </c>
      <c r="B4" s="4" t="s">
        <v>250</v>
      </c>
      <c r="C4" s="4" t="s">
        <v>261</v>
      </c>
      <c r="D4" s="4" t="str">
        <f t="shared" ref="D4:D17" si="0">HLOOKUP(LEFT(B4,1),$E$19:$G$20,2,0)</f>
        <v>Hành chính</v>
      </c>
      <c r="E4" s="3" t="s">
        <v>274</v>
      </c>
      <c r="F4" s="4">
        <f t="shared" ref="F4:F17" si="1">VLOOKUP(E4,$A$20:$B$24,2,0)</f>
        <v>40000</v>
      </c>
      <c r="G4" s="4"/>
    </row>
    <row r="5" spans="1:7">
      <c r="A5" s="3">
        <v>3</v>
      </c>
      <c r="B5" s="4" t="s">
        <v>251</v>
      </c>
      <c r="C5" s="4" t="s">
        <v>103</v>
      </c>
      <c r="D5" s="4" t="str">
        <f t="shared" si="0"/>
        <v>Kế toán</v>
      </c>
      <c r="E5" s="3" t="s">
        <v>275</v>
      </c>
      <c r="F5" s="4">
        <f t="shared" si="1"/>
        <v>30000</v>
      </c>
      <c r="G5" s="4"/>
    </row>
    <row r="6" spans="1:7">
      <c r="A6" s="3">
        <v>4</v>
      </c>
      <c r="B6" s="4" t="s">
        <v>252</v>
      </c>
      <c r="C6" s="4" t="s">
        <v>262</v>
      </c>
      <c r="D6" s="4" t="str">
        <f t="shared" si="0"/>
        <v>Hành chính</v>
      </c>
      <c r="E6" s="3" t="s">
        <v>276</v>
      </c>
      <c r="F6" s="4">
        <f t="shared" si="1"/>
        <v>0</v>
      </c>
      <c r="G6" s="4"/>
    </row>
    <row r="7" spans="1:7">
      <c r="A7" s="3">
        <v>5</v>
      </c>
      <c r="B7" s="4" t="s">
        <v>252</v>
      </c>
      <c r="C7" s="4" t="s">
        <v>263</v>
      </c>
      <c r="D7" s="4" t="str">
        <f t="shared" si="0"/>
        <v>Hành chính</v>
      </c>
      <c r="E7" s="3" t="s">
        <v>275</v>
      </c>
      <c r="F7" s="4">
        <f t="shared" si="1"/>
        <v>30000</v>
      </c>
      <c r="G7" s="4"/>
    </row>
    <row r="8" spans="1:7">
      <c r="A8" s="3">
        <v>6</v>
      </c>
      <c r="B8" s="4" t="s">
        <v>253</v>
      </c>
      <c r="C8" s="4" t="s">
        <v>264</v>
      </c>
      <c r="D8" s="4" t="str">
        <f t="shared" si="0"/>
        <v>Kế toán</v>
      </c>
      <c r="E8" s="3" t="s">
        <v>277</v>
      </c>
      <c r="F8" s="4">
        <f t="shared" si="1"/>
        <v>25000</v>
      </c>
      <c r="G8" s="4"/>
    </row>
    <row r="9" spans="1:7">
      <c r="A9" s="3">
        <v>7</v>
      </c>
      <c r="B9" s="4" t="s">
        <v>254</v>
      </c>
      <c r="C9" s="4" t="s">
        <v>265</v>
      </c>
      <c r="D9" s="4" t="str">
        <f t="shared" si="0"/>
        <v>Kế toán</v>
      </c>
      <c r="E9" s="3" t="s">
        <v>276</v>
      </c>
      <c r="F9" s="4">
        <f t="shared" si="1"/>
        <v>0</v>
      </c>
      <c r="G9" s="4"/>
    </row>
    <row r="10" spans="1:7">
      <c r="A10" s="3">
        <v>8</v>
      </c>
      <c r="B10" s="4" t="s">
        <v>255</v>
      </c>
      <c r="C10" s="4" t="s">
        <v>107</v>
      </c>
      <c r="D10" s="4" t="str">
        <f t="shared" si="0"/>
        <v>Kế hoạch</v>
      </c>
      <c r="E10" s="3" t="s">
        <v>276</v>
      </c>
      <c r="F10" s="4">
        <f t="shared" si="1"/>
        <v>0</v>
      </c>
      <c r="G10" s="4"/>
    </row>
    <row r="11" spans="1:7">
      <c r="A11" s="3">
        <v>9</v>
      </c>
      <c r="B11" s="4" t="s">
        <v>256</v>
      </c>
      <c r="C11" s="4" t="s">
        <v>266</v>
      </c>
      <c r="D11" s="4" t="str">
        <f t="shared" si="0"/>
        <v>Hành chính</v>
      </c>
      <c r="E11" s="3" t="s">
        <v>276</v>
      </c>
      <c r="F11" s="4">
        <f t="shared" si="1"/>
        <v>0</v>
      </c>
      <c r="G11" s="4"/>
    </row>
    <row r="12" spans="1:7">
      <c r="A12" s="3">
        <v>10</v>
      </c>
      <c r="B12" s="4" t="s">
        <v>257</v>
      </c>
      <c r="C12" s="4" t="s">
        <v>267</v>
      </c>
      <c r="D12" s="4" t="str">
        <f t="shared" si="0"/>
        <v>Kế hoạch</v>
      </c>
      <c r="E12" s="3" t="s">
        <v>276</v>
      </c>
      <c r="F12" s="4">
        <f t="shared" si="1"/>
        <v>0</v>
      </c>
      <c r="G12" s="4"/>
    </row>
    <row r="13" spans="1:7">
      <c r="A13" s="3">
        <v>11</v>
      </c>
      <c r="B13" s="4" t="s">
        <v>256</v>
      </c>
      <c r="C13" s="4" t="s">
        <v>268</v>
      </c>
      <c r="D13" s="4" t="str">
        <f t="shared" si="0"/>
        <v>Hành chính</v>
      </c>
      <c r="E13" s="3" t="s">
        <v>276</v>
      </c>
      <c r="F13" s="4">
        <f t="shared" si="1"/>
        <v>0</v>
      </c>
      <c r="G13" s="4"/>
    </row>
    <row r="14" spans="1:7">
      <c r="A14" s="3">
        <v>12</v>
      </c>
      <c r="B14" s="4" t="s">
        <v>257</v>
      </c>
      <c r="C14" s="4" t="s">
        <v>269</v>
      </c>
      <c r="D14" s="4" t="str">
        <f t="shared" si="0"/>
        <v>Kế hoạch</v>
      </c>
      <c r="E14" s="3" t="s">
        <v>276</v>
      </c>
      <c r="F14" s="4">
        <f t="shared" si="1"/>
        <v>0</v>
      </c>
      <c r="G14" s="4"/>
    </row>
    <row r="15" spans="1:7">
      <c r="A15" s="3">
        <v>13</v>
      </c>
      <c r="B15" s="4" t="s">
        <v>258</v>
      </c>
      <c r="C15" s="4" t="s">
        <v>270</v>
      </c>
      <c r="D15" s="4" t="str">
        <f t="shared" si="0"/>
        <v>Kế toán</v>
      </c>
      <c r="E15" s="3" t="s">
        <v>276</v>
      </c>
      <c r="F15" s="4">
        <f t="shared" si="1"/>
        <v>0</v>
      </c>
      <c r="G15" s="4"/>
    </row>
    <row r="16" spans="1:7">
      <c r="A16" s="3">
        <v>14</v>
      </c>
      <c r="B16" s="4" t="s">
        <v>259</v>
      </c>
      <c r="C16" s="4" t="s">
        <v>271</v>
      </c>
      <c r="D16" s="4" t="str">
        <f t="shared" si="0"/>
        <v>Hành chính</v>
      </c>
      <c r="E16" s="3" t="s">
        <v>276</v>
      </c>
      <c r="F16" s="4">
        <f t="shared" si="1"/>
        <v>0</v>
      </c>
      <c r="G16" s="4"/>
    </row>
    <row r="17" spans="1:7">
      <c r="A17" s="3">
        <v>15</v>
      </c>
      <c r="B17" s="4" t="s">
        <v>257</v>
      </c>
      <c r="C17" s="4" t="s">
        <v>272</v>
      </c>
      <c r="D17" s="4" t="str">
        <f t="shared" si="0"/>
        <v>Kế hoạch</v>
      </c>
      <c r="E17" s="3" t="s">
        <v>276</v>
      </c>
      <c r="F17" s="4">
        <f t="shared" si="1"/>
        <v>0</v>
      </c>
      <c r="G17" s="4"/>
    </row>
    <row r="19" spans="1:7">
      <c r="A19" s="4" t="s">
        <v>247</v>
      </c>
      <c r="B19" s="4" t="s">
        <v>248</v>
      </c>
      <c r="D19" s="4" t="s">
        <v>117</v>
      </c>
      <c r="E19" s="4" t="s">
        <v>124</v>
      </c>
      <c r="F19" s="4" t="s">
        <v>125</v>
      </c>
      <c r="G19" s="4" t="s">
        <v>126</v>
      </c>
    </row>
    <row r="20" spans="1:7">
      <c r="A20" s="4" t="s">
        <v>273</v>
      </c>
      <c r="B20" s="4">
        <v>50000</v>
      </c>
      <c r="D20" s="4" t="s">
        <v>280</v>
      </c>
      <c r="E20" s="4" t="s">
        <v>279</v>
      </c>
      <c r="F20" s="4" t="s">
        <v>216</v>
      </c>
      <c r="G20" s="4" t="s">
        <v>278</v>
      </c>
    </row>
    <row r="21" spans="1:7">
      <c r="A21" s="4" t="s">
        <v>274</v>
      </c>
      <c r="B21" s="4">
        <v>40000</v>
      </c>
    </row>
    <row r="22" spans="1:7">
      <c r="A22" s="4" t="s">
        <v>275</v>
      </c>
      <c r="B22" s="4">
        <v>30000</v>
      </c>
    </row>
    <row r="23" spans="1:7">
      <c r="A23" s="4" t="s">
        <v>277</v>
      </c>
      <c r="B23" s="4">
        <v>25000</v>
      </c>
    </row>
    <row r="24" spans="1:7">
      <c r="A24" s="4" t="s">
        <v>276</v>
      </c>
      <c r="B24" s="4">
        <v>0</v>
      </c>
    </row>
  </sheetData>
  <mergeCells count="1">
    <mergeCell ref="C1:E1"/>
  </mergeCells>
  <phoneticPr fontId="6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FFC000"/>
  </sheetPr>
  <dimension ref="A1:I19"/>
  <sheetViews>
    <sheetView zoomScale="75" zoomScaleNormal="145" workbookViewId="0">
      <selection activeCell="C20" sqref="C20"/>
    </sheetView>
  </sheetViews>
  <sheetFormatPr baseColWidth="10" defaultColWidth="9.1640625" defaultRowHeight="14"/>
  <cols>
    <col min="1" max="1" width="5.5" style="105" bestFit="1" customWidth="1"/>
    <col min="2" max="2" width="10.1640625" style="105" bestFit="1" customWidth="1"/>
    <col min="3" max="3" width="10.5" style="105" bestFit="1" customWidth="1"/>
    <col min="4" max="5" width="12" style="105" bestFit="1" customWidth="1"/>
    <col min="6" max="6" width="12" style="105" customWidth="1"/>
    <col min="7" max="7" width="10.1640625" style="106" bestFit="1" customWidth="1"/>
    <col min="8" max="8" width="7.5" style="106" bestFit="1" customWidth="1"/>
    <col min="9" max="9" width="10" style="106" bestFit="1" customWidth="1"/>
    <col min="10" max="16384" width="9.1640625" style="105"/>
  </cols>
  <sheetData>
    <row r="1" spans="1:9">
      <c r="C1" s="247" t="s">
        <v>281</v>
      </c>
      <c r="D1" s="247"/>
      <c r="E1" s="247"/>
      <c r="F1" s="247"/>
      <c r="G1" s="247"/>
    </row>
    <row r="2" spans="1:9" ht="30">
      <c r="A2" s="107" t="s">
        <v>45</v>
      </c>
      <c r="B2" s="107" t="s">
        <v>282</v>
      </c>
      <c r="C2" s="107" t="s">
        <v>283</v>
      </c>
      <c r="D2" s="108" t="s">
        <v>284</v>
      </c>
      <c r="E2" s="108" t="s">
        <v>285</v>
      </c>
      <c r="F2" s="108" t="s">
        <v>500</v>
      </c>
      <c r="G2" s="107" t="s">
        <v>286</v>
      </c>
      <c r="H2" s="109" t="s">
        <v>287</v>
      </c>
      <c r="I2" s="109" t="s">
        <v>288</v>
      </c>
    </row>
    <row r="3" spans="1:9">
      <c r="A3" s="110">
        <v>1</v>
      </c>
      <c r="B3" s="110" t="s">
        <v>289</v>
      </c>
      <c r="C3" s="110" t="s">
        <v>249</v>
      </c>
      <c r="D3" s="111">
        <v>39083</v>
      </c>
      <c r="E3" s="111">
        <v>39092</v>
      </c>
      <c r="F3" s="113">
        <f>E3-D3</f>
        <v>9</v>
      </c>
      <c r="G3" s="112">
        <f>F3*B11</f>
        <v>900000</v>
      </c>
      <c r="H3" s="112" t="str">
        <f>IF(F3&gt;=7,"100000","0")</f>
        <v>100000</v>
      </c>
      <c r="I3" s="112">
        <f>G3-H3</f>
        <v>800000</v>
      </c>
    </row>
    <row r="4" spans="1:9">
      <c r="A4" s="110">
        <v>2</v>
      </c>
      <c r="B4" s="110" t="s">
        <v>175</v>
      </c>
      <c r="C4" s="110" t="s">
        <v>250</v>
      </c>
      <c r="D4" s="111">
        <v>39097</v>
      </c>
      <c r="E4" s="111">
        <v>39097</v>
      </c>
      <c r="F4" s="113">
        <v>0.5</v>
      </c>
      <c r="G4" s="112">
        <f>B12</f>
        <v>80000</v>
      </c>
      <c r="H4" s="112" t="str">
        <f t="shared" ref="H4:H8" si="0">IF(F4&gt;=7,"100000","0")</f>
        <v>0</v>
      </c>
      <c r="I4" s="112">
        <f t="shared" ref="I4:I8" si="1">G4-H4</f>
        <v>80000</v>
      </c>
    </row>
    <row r="5" spans="1:9">
      <c r="A5" s="110">
        <v>3</v>
      </c>
      <c r="B5" s="110" t="s">
        <v>289</v>
      </c>
      <c r="C5" s="110" t="s">
        <v>249</v>
      </c>
      <c r="D5" s="111">
        <v>39102</v>
      </c>
      <c r="E5" s="111">
        <v>39107</v>
      </c>
      <c r="F5" s="113">
        <f t="shared" ref="F5:F8" si="2">E5-D5</f>
        <v>5</v>
      </c>
      <c r="G5" s="112">
        <f>F5*B11</f>
        <v>500000</v>
      </c>
      <c r="H5" s="112" t="str">
        <f t="shared" si="0"/>
        <v>0</v>
      </c>
      <c r="I5" s="112">
        <f t="shared" si="1"/>
        <v>500000</v>
      </c>
    </row>
    <row r="6" spans="1:9">
      <c r="A6" s="110">
        <v>4</v>
      </c>
      <c r="B6" s="110" t="s">
        <v>290</v>
      </c>
      <c r="C6" s="110" t="s">
        <v>293</v>
      </c>
      <c r="D6" s="111">
        <v>39097</v>
      </c>
      <c r="E6" s="111">
        <v>39102</v>
      </c>
      <c r="F6" s="113">
        <f t="shared" si="2"/>
        <v>5</v>
      </c>
      <c r="G6" s="112">
        <f>F6*B13</f>
        <v>250000</v>
      </c>
      <c r="H6" s="112" t="str">
        <f t="shared" si="0"/>
        <v>0</v>
      </c>
      <c r="I6" s="112">
        <f t="shared" si="1"/>
        <v>250000</v>
      </c>
    </row>
    <row r="7" spans="1:9">
      <c r="A7" s="110">
        <v>5</v>
      </c>
      <c r="B7" s="110" t="s">
        <v>291</v>
      </c>
      <c r="C7" s="110" t="s">
        <v>252</v>
      </c>
      <c r="D7" s="111">
        <v>39107</v>
      </c>
      <c r="E7" s="111">
        <v>39112</v>
      </c>
      <c r="F7" s="113">
        <f t="shared" si="2"/>
        <v>5</v>
      </c>
      <c r="G7" s="112">
        <f>F7*B12</f>
        <v>400000</v>
      </c>
      <c r="H7" s="112" t="str">
        <f t="shared" si="0"/>
        <v>0</v>
      </c>
      <c r="I7" s="112">
        <f t="shared" si="1"/>
        <v>400000</v>
      </c>
    </row>
    <row r="8" spans="1:9">
      <c r="A8" s="110">
        <v>6</v>
      </c>
      <c r="B8" s="110" t="s">
        <v>292</v>
      </c>
      <c r="C8" s="110" t="s">
        <v>294</v>
      </c>
      <c r="D8" s="111">
        <v>39083</v>
      </c>
      <c r="E8" s="111">
        <v>39112</v>
      </c>
      <c r="F8" s="113">
        <f t="shared" si="2"/>
        <v>29</v>
      </c>
      <c r="G8" s="112">
        <f>F8*B11</f>
        <v>2900000</v>
      </c>
      <c r="H8" s="112" t="str">
        <f t="shared" si="0"/>
        <v>100000</v>
      </c>
      <c r="I8" s="112">
        <f t="shared" si="1"/>
        <v>2800000</v>
      </c>
    </row>
    <row r="9" spans="1:9">
      <c r="A9" s="247" t="s">
        <v>378</v>
      </c>
      <c r="B9" s="247"/>
      <c r="C9" s="247"/>
    </row>
    <row r="10" spans="1:9">
      <c r="A10" s="110" t="s">
        <v>379</v>
      </c>
      <c r="B10" s="110" t="s">
        <v>503</v>
      </c>
      <c r="D10" s="115" t="s">
        <v>504</v>
      </c>
      <c r="E10" s="115"/>
      <c r="F10" s="115"/>
    </row>
    <row r="11" spans="1:9">
      <c r="A11" s="110" t="s">
        <v>124</v>
      </c>
      <c r="B11" s="110">
        <v>100000</v>
      </c>
      <c r="D11" s="115" t="s">
        <v>501</v>
      </c>
      <c r="E11" s="115"/>
      <c r="F11" s="115"/>
    </row>
    <row r="12" spans="1:9">
      <c r="A12" s="110" t="s">
        <v>125</v>
      </c>
      <c r="B12" s="110">
        <v>80000</v>
      </c>
      <c r="D12" s="115"/>
      <c r="E12" s="115" t="s">
        <v>502</v>
      </c>
      <c r="F12" s="115"/>
    </row>
    <row r="13" spans="1:9">
      <c r="A13" s="110" t="s">
        <v>126</v>
      </c>
      <c r="B13" s="110">
        <v>50000</v>
      </c>
      <c r="D13" s="115" t="s">
        <v>505</v>
      </c>
      <c r="E13" s="115"/>
      <c r="F13" s="115"/>
    </row>
    <row r="14" spans="1:9">
      <c r="D14" s="115" t="s">
        <v>506</v>
      </c>
      <c r="E14" s="115"/>
      <c r="F14" s="115"/>
    </row>
    <row r="15" spans="1:9">
      <c r="A15" s="105" t="s">
        <v>447</v>
      </c>
      <c r="D15" s="114" t="s">
        <v>461</v>
      </c>
      <c r="E15" s="114"/>
      <c r="F15" s="114"/>
    </row>
    <row r="16" spans="1:9" ht="15">
      <c r="A16" s="116" t="s">
        <v>379</v>
      </c>
      <c r="B16" s="116" t="s">
        <v>508</v>
      </c>
      <c r="C16" s="116" t="s">
        <v>507</v>
      </c>
    </row>
    <row r="17" spans="1:3">
      <c r="A17" s="110" t="s">
        <v>124</v>
      </c>
      <c r="B17" s="110">
        <f>F3+F5+F8</f>
        <v>43</v>
      </c>
      <c r="C17" s="110">
        <f>I3+I5+I8</f>
        <v>4100000</v>
      </c>
    </row>
    <row r="18" spans="1:3">
      <c r="A18" s="110" t="s">
        <v>125</v>
      </c>
      <c r="B18" s="110">
        <f>F4+F7</f>
        <v>5.5</v>
      </c>
      <c r="C18" s="110">
        <f>I4+I7</f>
        <v>480000</v>
      </c>
    </row>
    <row r="19" spans="1:3">
      <c r="A19" s="110" t="s">
        <v>126</v>
      </c>
      <c r="B19" s="110">
        <f>F6</f>
        <v>5</v>
      </c>
      <c r="C19" s="110">
        <f>I6</f>
        <v>250000</v>
      </c>
    </row>
  </sheetData>
  <mergeCells count="2">
    <mergeCell ref="C1:G1"/>
    <mergeCell ref="A9:C9"/>
  </mergeCells>
  <phoneticPr fontId="6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H30"/>
  <sheetViews>
    <sheetView zoomScale="90" zoomScaleNormal="70" workbookViewId="0">
      <selection activeCell="B23" sqref="B23"/>
    </sheetView>
  </sheetViews>
  <sheetFormatPr baseColWidth="10" defaultColWidth="9.1640625" defaultRowHeight="23"/>
  <cols>
    <col min="1" max="1" width="7.83203125" style="34" bestFit="1" customWidth="1"/>
    <col min="2" max="2" width="15.5" style="34" bestFit="1" customWidth="1"/>
    <col min="3" max="3" width="26.6640625" style="34" bestFit="1" customWidth="1"/>
    <col min="4" max="4" width="18.83203125" style="34" bestFit="1" customWidth="1"/>
    <col min="5" max="5" width="18.1640625" style="34" customWidth="1"/>
    <col min="6" max="6" width="16.5" style="34" customWidth="1"/>
    <col min="7" max="7" width="16.1640625" style="34" customWidth="1"/>
    <col min="8" max="8" width="18.6640625" style="34" customWidth="1"/>
    <col min="9" max="12" width="9.1640625" style="34"/>
    <col min="13" max="13" width="24.33203125" style="34" customWidth="1"/>
    <col min="14" max="16384" width="9.1640625" style="34"/>
  </cols>
  <sheetData>
    <row r="1" spans="1:8">
      <c r="C1" s="248" t="s">
        <v>349</v>
      </c>
      <c r="D1" s="248"/>
      <c r="E1" s="248"/>
    </row>
    <row r="2" spans="1:8">
      <c r="A2" s="35" t="s">
        <v>45</v>
      </c>
      <c r="B2" s="35" t="s">
        <v>350</v>
      </c>
      <c r="C2" s="35" t="s">
        <v>351</v>
      </c>
      <c r="D2" s="35" t="s">
        <v>352</v>
      </c>
      <c r="E2" s="35" t="s">
        <v>353</v>
      </c>
      <c r="F2" s="35" t="s">
        <v>354</v>
      </c>
      <c r="G2" s="35" t="s">
        <v>355</v>
      </c>
      <c r="H2" s="35" t="s">
        <v>356</v>
      </c>
    </row>
    <row r="3" spans="1:8">
      <c r="A3" s="35">
        <v>1</v>
      </c>
      <c r="B3" s="36" t="s">
        <v>357</v>
      </c>
      <c r="C3" s="38" t="s">
        <v>366</v>
      </c>
      <c r="D3" s="37">
        <v>39423</v>
      </c>
      <c r="E3" s="38" t="str">
        <f>IF(C3="Đĩa mềm 1.4Mb","Thùng",IF(C3="Đĩa mềm 1.2Mb","Thùng",IF(C3="Đĩa CD 740Mb","Thùng",IF(C3="Đĩa cứng 3.2Mb","Cái"))))</f>
        <v>Thùng</v>
      </c>
      <c r="F3" s="35">
        <v>5</v>
      </c>
      <c r="G3" s="38" t="str">
        <f>IF(C3="Đĩa mềm 1.4Mb","140",IF(C3="Đĩa mềm 1.2Mb","120",IF(C3="Đĩa CD 740Mb","200",IF(C3="Đĩa cứng 3.2Mb","120"))))</f>
        <v>140</v>
      </c>
      <c r="H3" s="38">
        <f>F3*G3</f>
        <v>700</v>
      </c>
    </row>
    <row r="4" spans="1:8">
      <c r="A4" s="35">
        <v>2</v>
      </c>
      <c r="B4" s="36" t="s">
        <v>358</v>
      </c>
      <c r="C4" s="38" t="s">
        <v>369</v>
      </c>
      <c r="D4" s="37">
        <v>39428</v>
      </c>
      <c r="E4" s="38" t="str">
        <f t="shared" ref="E4:E12" si="0">IF(C4="Đĩa mềm 1.4Mb","Thùng",IF(C4="Đĩa mềm 1.2Mb","Thùng",IF(C4="Đĩa CD 740Mb","Thùng",IF(C4="Đĩa cứng 3.2Mb","Cái"))))</f>
        <v>Cái</v>
      </c>
      <c r="F4" s="35">
        <v>2</v>
      </c>
      <c r="G4" s="38" t="str">
        <f t="shared" ref="G4:G12" si="1">IF(C4="Đĩa mềm 1.4Mb","140",IF(C4="Đĩa mềm 1.2Mb","120",IF(C4="Đĩa CD 740Mb","200",IF(C4="Đĩa cứng 3.2Mb","120"))))</f>
        <v>120</v>
      </c>
      <c r="H4" s="38">
        <f t="shared" ref="H4:H12" si="2">F4*G4</f>
        <v>240</v>
      </c>
    </row>
    <row r="5" spans="1:8">
      <c r="A5" s="35">
        <v>3</v>
      </c>
      <c r="B5" s="36" t="s">
        <v>359</v>
      </c>
      <c r="C5" s="38" t="s">
        <v>368</v>
      </c>
      <c r="D5" s="37">
        <v>39424</v>
      </c>
      <c r="E5" s="38" t="str">
        <f t="shared" si="0"/>
        <v>Thùng</v>
      </c>
      <c r="F5" s="35">
        <v>12</v>
      </c>
      <c r="G5" s="38" t="str">
        <f t="shared" si="1"/>
        <v>200</v>
      </c>
      <c r="H5" s="38">
        <f t="shared" si="2"/>
        <v>2400</v>
      </c>
    </row>
    <row r="6" spans="1:8">
      <c r="A6" s="35">
        <v>4</v>
      </c>
      <c r="B6" s="36" t="s">
        <v>360</v>
      </c>
      <c r="C6" s="38" t="s">
        <v>366</v>
      </c>
      <c r="D6" s="37">
        <v>39425</v>
      </c>
      <c r="E6" s="38" t="str">
        <f t="shared" si="0"/>
        <v>Thùng</v>
      </c>
      <c r="F6" s="35">
        <v>7</v>
      </c>
      <c r="G6" s="38" t="str">
        <f t="shared" si="1"/>
        <v>140</v>
      </c>
      <c r="H6" s="38">
        <f t="shared" si="2"/>
        <v>980</v>
      </c>
    </row>
    <row r="7" spans="1:8">
      <c r="A7" s="35">
        <v>5</v>
      </c>
      <c r="B7" s="36" t="s">
        <v>358</v>
      </c>
      <c r="C7" s="38" t="s">
        <v>369</v>
      </c>
      <c r="D7" s="37">
        <v>39427</v>
      </c>
      <c r="E7" s="38" t="str">
        <f t="shared" si="0"/>
        <v>Cái</v>
      </c>
      <c r="F7" s="35">
        <v>3</v>
      </c>
      <c r="G7" s="38" t="str">
        <f t="shared" si="1"/>
        <v>120</v>
      </c>
      <c r="H7" s="38">
        <f t="shared" si="2"/>
        <v>360</v>
      </c>
    </row>
    <row r="8" spans="1:8">
      <c r="A8" s="35">
        <v>6</v>
      </c>
      <c r="B8" s="36" t="s">
        <v>359</v>
      </c>
      <c r="C8" s="38" t="s">
        <v>368</v>
      </c>
      <c r="D8" s="37">
        <v>39423</v>
      </c>
      <c r="E8" s="38" t="str">
        <f t="shared" si="0"/>
        <v>Thùng</v>
      </c>
      <c r="F8" s="35">
        <v>5</v>
      </c>
      <c r="G8" s="38" t="str">
        <f t="shared" si="1"/>
        <v>200</v>
      </c>
      <c r="H8" s="38">
        <f t="shared" si="2"/>
        <v>1000</v>
      </c>
    </row>
    <row r="9" spans="1:8">
      <c r="A9" s="35">
        <v>7</v>
      </c>
      <c r="B9" s="36" t="s">
        <v>357</v>
      </c>
      <c r="C9" s="38" t="s">
        <v>367</v>
      </c>
      <c r="D9" s="37">
        <v>39426</v>
      </c>
      <c r="E9" s="38" t="str">
        <f t="shared" si="0"/>
        <v>Thùng</v>
      </c>
      <c r="F9" s="35">
        <v>6</v>
      </c>
      <c r="G9" s="38" t="str">
        <f t="shared" si="1"/>
        <v>120</v>
      </c>
      <c r="H9" s="38">
        <f t="shared" si="2"/>
        <v>720</v>
      </c>
    </row>
    <row r="10" spans="1:8">
      <c r="A10" s="35">
        <v>8</v>
      </c>
      <c r="B10" s="36" t="s">
        <v>359</v>
      </c>
      <c r="C10" s="38" t="s">
        <v>368</v>
      </c>
      <c r="D10" s="37">
        <v>39430</v>
      </c>
      <c r="E10" s="38" t="str">
        <f t="shared" si="0"/>
        <v>Thùng</v>
      </c>
      <c r="F10" s="35">
        <v>4</v>
      </c>
      <c r="G10" s="38" t="str">
        <f t="shared" si="1"/>
        <v>200</v>
      </c>
      <c r="H10" s="38">
        <f t="shared" si="2"/>
        <v>800</v>
      </c>
    </row>
    <row r="11" spans="1:8">
      <c r="A11" s="35">
        <v>9</v>
      </c>
      <c r="B11" s="36" t="s">
        <v>360</v>
      </c>
      <c r="C11" s="38" t="s">
        <v>366</v>
      </c>
      <c r="D11" s="37">
        <v>39429</v>
      </c>
      <c r="E11" s="38" t="str">
        <f t="shared" si="0"/>
        <v>Thùng</v>
      </c>
      <c r="F11" s="35">
        <v>10</v>
      </c>
      <c r="G11" s="38" t="str">
        <f t="shared" si="1"/>
        <v>140</v>
      </c>
      <c r="H11" s="38">
        <f t="shared" si="2"/>
        <v>1400</v>
      </c>
    </row>
    <row r="12" spans="1:8">
      <c r="A12" s="35">
        <v>10</v>
      </c>
      <c r="B12" s="36" t="s">
        <v>357</v>
      </c>
      <c r="C12" s="38" t="s">
        <v>367</v>
      </c>
      <c r="D12" s="37">
        <v>39430</v>
      </c>
      <c r="E12" s="38" t="str">
        <f t="shared" si="0"/>
        <v>Thùng</v>
      </c>
      <c r="F12" s="35">
        <v>20</v>
      </c>
      <c r="G12" s="38" t="str">
        <f t="shared" si="1"/>
        <v>120</v>
      </c>
      <c r="H12" s="38">
        <f t="shared" si="2"/>
        <v>2400</v>
      </c>
    </row>
    <row r="13" spans="1:8">
      <c r="A13" s="249" t="s">
        <v>361</v>
      </c>
      <c r="B13" s="249"/>
      <c r="C13" s="249"/>
      <c r="D13" s="249"/>
      <c r="E13" s="249"/>
      <c r="F13" s="249"/>
      <c r="G13" s="249"/>
      <c r="H13" s="36"/>
    </row>
    <row r="14" spans="1:8">
      <c r="C14" s="250" t="s">
        <v>362</v>
      </c>
      <c r="D14" s="250"/>
    </row>
    <row r="15" spans="1:8">
      <c r="B15" s="36" t="s">
        <v>211</v>
      </c>
      <c r="C15" s="36" t="s">
        <v>370</v>
      </c>
      <c r="D15" s="36" t="s">
        <v>353</v>
      </c>
      <c r="E15" s="36" t="s">
        <v>371</v>
      </c>
    </row>
    <row r="16" spans="1:8">
      <c r="B16" s="36" t="s">
        <v>382</v>
      </c>
      <c r="C16" s="36" t="s">
        <v>366</v>
      </c>
      <c r="D16" s="36" t="s">
        <v>372</v>
      </c>
      <c r="E16" s="36">
        <v>140</v>
      </c>
    </row>
    <row r="17" spans="2:8">
      <c r="B17" s="36" t="s">
        <v>363</v>
      </c>
      <c r="C17" s="36" t="s">
        <v>367</v>
      </c>
      <c r="D17" s="36" t="s">
        <v>372</v>
      </c>
      <c r="E17" s="36">
        <v>120</v>
      </c>
      <c r="H17" s="75"/>
    </row>
    <row r="18" spans="2:8">
      <c r="B18" s="36" t="s">
        <v>364</v>
      </c>
      <c r="C18" s="36" t="s">
        <v>368</v>
      </c>
      <c r="D18" s="36" t="s">
        <v>372</v>
      </c>
      <c r="E18" s="36">
        <v>200</v>
      </c>
    </row>
    <row r="19" spans="2:8">
      <c r="B19" s="36" t="s">
        <v>365</v>
      </c>
      <c r="C19" s="36" t="s">
        <v>369</v>
      </c>
      <c r="D19" s="36" t="s">
        <v>373</v>
      </c>
      <c r="E19" s="36">
        <v>120</v>
      </c>
    </row>
    <row r="21" spans="2:8">
      <c r="B21" s="250" t="s">
        <v>374</v>
      </c>
      <c r="C21" s="250"/>
      <c r="D21" s="250"/>
    </row>
    <row r="22" spans="2:8">
      <c r="B22" s="36" t="s">
        <v>375</v>
      </c>
      <c r="C22" s="36" t="s">
        <v>376</v>
      </c>
      <c r="D22" s="36" t="s">
        <v>377</v>
      </c>
    </row>
    <row r="23" spans="2:8">
      <c r="B23" s="36"/>
      <c r="C23" s="36"/>
      <c r="D23" s="36"/>
    </row>
    <row r="28" spans="2:8">
      <c r="E28" s="39" t="s">
        <v>350</v>
      </c>
      <c r="F28" s="36"/>
      <c r="G28" s="36"/>
    </row>
    <row r="29" spans="2:8">
      <c r="E29" s="40" t="s">
        <v>357</v>
      </c>
      <c r="F29" s="39" t="s">
        <v>350</v>
      </c>
      <c r="G29" s="39" t="s">
        <v>350</v>
      </c>
    </row>
    <row r="30" spans="2:8">
      <c r="E30" s="40" t="s">
        <v>360</v>
      </c>
      <c r="F30" s="41" t="s">
        <v>359</v>
      </c>
      <c r="G30" s="42" t="s">
        <v>358</v>
      </c>
    </row>
  </sheetData>
  <mergeCells count="4">
    <mergeCell ref="C1:E1"/>
    <mergeCell ref="A13:G13"/>
    <mergeCell ref="C14:D14"/>
    <mergeCell ref="B21:D21"/>
  </mergeCells>
  <phoneticPr fontId="6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H22"/>
  <sheetViews>
    <sheetView topLeftCell="A4" zoomScale="150" zoomScaleNormal="100" workbookViewId="0">
      <selection activeCell="H5" sqref="H5"/>
    </sheetView>
  </sheetViews>
  <sheetFormatPr baseColWidth="10" defaultColWidth="8.83203125" defaultRowHeight="13"/>
  <cols>
    <col min="1" max="1" width="14.5" customWidth="1"/>
    <col min="2" max="2" width="12.5" customWidth="1"/>
    <col min="3" max="3" width="17.83203125" customWidth="1"/>
    <col min="4" max="7" width="12.5" customWidth="1"/>
    <col min="8" max="8" width="15.5" customWidth="1"/>
  </cols>
  <sheetData>
    <row r="1" spans="1:8" ht="18">
      <c r="A1" s="252" t="s">
        <v>383</v>
      </c>
      <c r="B1" s="252"/>
      <c r="C1" s="252"/>
      <c r="D1" s="252"/>
      <c r="E1" s="252"/>
      <c r="F1" s="252"/>
    </row>
    <row r="2" spans="1:8" ht="16">
      <c r="A2" s="253" t="s">
        <v>384</v>
      </c>
      <c r="B2" s="253"/>
      <c r="C2" s="253"/>
      <c r="D2" s="253"/>
      <c r="E2" s="253"/>
      <c r="F2" s="253"/>
      <c r="G2" s="253"/>
    </row>
    <row r="3" spans="1:8" ht="17" thickBot="1">
      <c r="A3" s="43"/>
      <c r="B3" s="44"/>
      <c r="C3" s="44"/>
      <c r="D3" s="44"/>
      <c r="E3" s="254" t="s">
        <v>385</v>
      </c>
      <c r="F3" s="254"/>
      <c r="G3" s="44"/>
    </row>
    <row r="4" spans="1:8" ht="36" thickTop="1" thickBot="1">
      <c r="A4" s="45" t="s">
        <v>45</v>
      </c>
      <c r="B4" s="46" t="s">
        <v>386</v>
      </c>
      <c r="C4" s="46" t="s">
        <v>387</v>
      </c>
      <c r="D4" s="46" t="s">
        <v>388</v>
      </c>
      <c r="E4" s="120" t="s">
        <v>511</v>
      </c>
      <c r="F4" s="46" t="s">
        <v>2</v>
      </c>
      <c r="G4" s="46" t="s">
        <v>389</v>
      </c>
      <c r="H4" s="47" t="s">
        <v>390</v>
      </c>
    </row>
    <row r="5" spans="1:8" ht="20" thickBot="1">
      <c r="A5" s="48">
        <v>1</v>
      </c>
      <c r="B5" s="49" t="s">
        <v>391</v>
      </c>
      <c r="C5" s="69" t="s">
        <v>683</v>
      </c>
      <c r="D5" s="121" t="s">
        <v>684</v>
      </c>
      <c r="E5" s="151" t="s">
        <v>685</v>
      </c>
      <c r="F5" s="51">
        <v>1000</v>
      </c>
      <c r="G5" s="50"/>
      <c r="H5" s="208">
        <f>G5*F5</f>
        <v>0</v>
      </c>
    </row>
    <row r="6" spans="1:8" ht="20" thickBot="1">
      <c r="A6" s="48">
        <v>2</v>
      </c>
      <c r="B6" s="49" t="s">
        <v>392</v>
      </c>
      <c r="C6" s="69"/>
      <c r="D6" s="121"/>
      <c r="E6" s="151" t="s">
        <v>685</v>
      </c>
      <c r="F6" s="51">
        <v>80</v>
      </c>
      <c r="G6" s="50">
        <v>140000</v>
      </c>
      <c r="H6" s="208">
        <f t="shared" ref="H6:H9" si="0">G6*F6</f>
        <v>11200000</v>
      </c>
    </row>
    <row r="7" spans="1:8" ht="20" thickBot="1">
      <c r="A7" s="48">
        <v>3</v>
      </c>
      <c r="B7" s="49" t="s">
        <v>393</v>
      </c>
      <c r="C7" s="69" t="s">
        <v>683</v>
      </c>
      <c r="D7" s="121" t="s">
        <v>684</v>
      </c>
      <c r="E7" s="151" t="s">
        <v>686</v>
      </c>
      <c r="F7" s="51">
        <v>1200</v>
      </c>
      <c r="G7" s="50">
        <v>26000</v>
      </c>
      <c r="H7" s="208">
        <f t="shared" si="0"/>
        <v>31200000</v>
      </c>
    </row>
    <row r="8" spans="1:8" ht="20" thickBot="1">
      <c r="A8" s="48">
        <v>4</v>
      </c>
      <c r="B8" s="49" t="s">
        <v>394</v>
      </c>
      <c r="C8" s="69" t="s">
        <v>32</v>
      </c>
      <c r="D8" s="121" t="s">
        <v>409</v>
      </c>
      <c r="E8" s="151" t="s">
        <v>685</v>
      </c>
      <c r="F8" s="51">
        <v>20</v>
      </c>
      <c r="G8" s="50">
        <v>50000</v>
      </c>
      <c r="H8" s="208">
        <f t="shared" si="0"/>
        <v>1000000</v>
      </c>
    </row>
    <row r="9" spans="1:8" ht="20" thickBot="1">
      <c r="A9" s="52">
        <v>5</v>
      </c>
      <c r="B9" s="53" t="s">
        <v>395</v>
      </c>
      <c r="C9" s="69" t="s">
        <v>32</v>
      </c>
      <c r="D9" s="121" t="s">
        <v>409</v>
      </c>
      <c r="E9" s="151" t="s">
        <v>686</v>
      </c>
      <c r="F9" s="54">
        <v>80</v>
      </c>
      <c r="G9" s="50">
        <v>40000</v>
      </c>
      <c r="H9" s="208">
        <f t="shared" si="0"/>
        <v>3200000</v>
      </c>
    </row>
    <row r="10" spans="1:8" ht="17" thickTop="1">
      <c r="A10" s="44"/>
      <c r="B10" s="44"/>
      <c r="C10" s="44"/>
      <c r="D10" s="44"/>
      <c r="E10" s="44"/>
      <c r="F10" s="44"/>
      <c r="G10" s="44"/>
    </row>
    <row r="11" spans="1:8" ht="17" thickBot="1">
      <c r="A11" s="251" t="s">
        <v>396</v>
      </c>
      <c r="B11" s="251"/>
      <c r="C11" s="55"/>
      <c r="D11" s="55"/>
      <c r="E11" s="251" t="s">
        <v>397</v>
      </c>
      <c r="F11" s="251"/>
      <c r="G11" s="44"/>
    </row>
    <row r="12" spans="1:8" ht="19" thickTop="1" thickBot="1">
      <c r="A12" s="56" t="s">
        <v>398</v>
      </c>
      <c r="B12" s="57" t="s">
        <v>399</v>
      </c>
      <c r="C12" s="58" t="s">
        <v>388</v>
      </c>
      <c r="D12" s="44"/>
      <c r="E12" s="56" t="s">
        <v>400</v>
      </c>
      <c r="F12" s="58" t="s">
        <v>401</v>
      </c>
      <c r="G12" s="44"/>
    </row>
    <row r="13" spans="1:8" ht="17" thickBot="1">
      <c r="A13" s="48" t="s">
        <v>124</v>
      </c>
      <c r="B13" s="59" t="s">
        <v>402</v>
      </c>
      <c r="C13" s="60" t="s">
        <v>403</v>
      </c>
      <c r="D13" s="44"/>
      <c r="E13" s="67" t="s">
        <v>411</v>
      </c>
      <c r="F13" s="61" t="s">
        <v>404</v>
      </c>
      <c r="G13" s="44"/>
    </row>
    <row r="14" spans="1:8" ht="17" thickBot="1">
      <c r="A14" s="48" t="s">
        <v>125</v>
      </c>
      <c r="B14" s="59" t="s">
        <v>405</v>
      </c>
      <c r="C14" s="60" t="s">
        <v>406</v>
      </c>
      <c r="D14" s="44"/>
      <c r="E14" s="68" t="s">
        <v>412</v>
      </c>
      <c r="F14" s="62" t="s">
        <v>407</v>
      </c>
      <c r="G14" s="44"/>
    </row>
    <row r="15" spans="1:8" ht="17" thickBot="1">
      <c r="A15" s="52" t="s">
        <v>126</v>
      </c>
      <c r="B15" s="63" t="s">
        <v>408</v>
      </c>
      <c r="C15" s="64" t="s">
        <v>409</v>
      </c>
      <c r="D15" s="44"/>
      <c r="E15" s="44"/>
      <c r="F15" s="44"/>
      <c r="G15" s="70"/>
    </row>
    <row r="16" spans="1:8" ht="17" thickTop="1">
      <c r="A16" s="44"/>
      <c r="B16" s="44"/>
      <c r="C16" s="44"/>
      <c r="D16" s="44"/>
      <c r="E16" s="122" t="s">
        <v>509</v>
      </c>
      <c r="F16" s="122"/>
      <c r="G16" s="117"/>
    </row>
    <row r="17" spans="1:7" ht="17" thickBot="1">
      <c r="A17" s="251" t="s">
        <v>410</v>
      </c>
      <c r="B17" s="251"/>
      <c r="C17" s="251"/>
      <c r="D17" s="44"/>
      <c r="E17" s="122" t="s">
        <v>510</v>
      </c>
      <c r="F17" s="122"/>
      <c r="G17" s="118"/>
    </row>
    <row r="18" spans="1:7" ht="19" thickTop="1" thickBot="1">
      <c r="A18" s="56" t="s">
        <v>398</v>
      </c>
      <c r="B18" s="57" t="s">
        <v>404</v>
      </c>
      <c r="C18" s="58" t="s">
        <v>407</v>
      </c>
      <c r="D18" s="44"/>
      <c r="E18" s="122" t="s">
        <v>512</v>
      </c>
      <c r="F18" s="122"/>
      <c r="G18" s="117"/>
    </row>
    <row r="19" spans="1:7" ht="17" thickBot="1">
      <c r="A19" s="48" t="s">
        <v>124</v>
      </c>
      <c r="B19" s="51">
        <v>30000</v>
      </c>
      <c r="C19" s="65">
        <v>26000</v>
      </c>
      <c r="D19" s="44"/>
      <c r="E19" s="122"/>
      <c r="F19" s="122"/>
      <c r="G19" s="117"/>
    </row>
    <row r="20" spans="1:7" ht="17" thickBot="1">
      <c r="A20" s="48" t="s">
        <v>125</v>
      </c>
      <c r="B20" s="51">
        <v>160000</v>
      </c>
      <c r="C20" s="65">
        <v>140000</v>
      </c>
      <c r="D20" s="44"/>
      <c r="E20" s="117"/>
      <c r="F20" s="117"/>
      <c r="G20" s="117"/>
    </row>
    <row r="21" spans="1:7" ht="17" thickBot="1">
      <c r="A21" s="52" t="s">
        <v>126</v>
      </c>
      <c r="B21" s="54">
        <v>50000</v>
      </c>
      <c r="C21" s="66">
        <v>40000</v>
      </c>
      <c r="D21" s="44"/>
      <c r="E21" s="117"/>
      <c r="F21" s="117"/>
      <c r="G21" s="117"/>
    </row>
    <row r="22" spans="1:7" ht="14" thickTop="1">
      <c r="E22" s="119"/>
      <c r="F22" s="119"/>
      <c r="G22" s="119"/>
    </row>
  </sheetData>
  <mergeCells count="6">
    <mergeCell ref="A17:C17"/>
    <mergeCell ref="A1:F1"/>
    <mergeCell ref="A2:G2"/>
    <mergeCell ref="E3:F3"/>
    <mergeCell ref="A11:B11"/>
    <mergeCell ref="E11:F11"/>
  </mergeCells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7"/>
  <sheetViews>
    <sheetView tabSelected="1" zoomScale="128" workbookViewId="0">
      <selection activeCell="D17" sqref="D17"/>
    </sheetView>
  </sheetViews>
  <sheetFormatPr baseColWidth="10" defaultColWidth="9.1640625" defaultRowHeight="17"/>
  <cols>
    <col min="1" max="1" width="5.5" style="129" customWidth="1"/>
    <col min="2" max="2" width="15.5" style="129" bestFit="1" customWidth="1"/>
    <col min="3" max="3" width="11.1640625" style="129" customWidth="1"/>
    <col min="4" max="4" width="15.5" style="129" bestFit="1" customWidth="1"/>
    <col min="5" max="5" width="10.5" style="129" customWidth="1"/>
    <col min="6" max="8" width="9.1640625" style="129"/>
    <col min="9" max="10" width="10.5" style="129" bestFit="1" customWidth="1"/>
    <col min="11" max="16384" width="9.1640625" style="129"/>
  </cols>
  <sheetData>
    <row r="1" spans="1:10">
      <c r="A1" s="129" t="s">
        <v>570</v>
      </c>
    </row>
    <row r="2" spans="1:10" s="131" customFormat="1" ht="36">
      <c r="A2" s="130" t="s">
        <v>571</v>
      </c>
      <c r="B2" s="130" t="s">
        <v>468</v>
      </c>
      <c r="C2" s="130" t="s">
        <v>572</v>
      </c>
      <c r="D2" s="130" t="s">
        <v>573</v>
      </c>
      <c r="E2" s="130" t="s">
        <v>574</v>
      </c>
      <c r="F2" s="130" t="s">
        <v>469</v>
      </c>
      <c r="G2" s="130" t="s">
        <v>575</v>
      </c>
      <c r="H2" s="130" t="s">
        <v>576</v>
      </c>
      <c r="I2" s="130" t="s">
        <v>577</v>
      </c>
      <c r="J2" s="130" t="s">
        <v>195</v>
      </c>
    </row>
    <row r="3" spans="1:10">
      <c r="A3" s="132">
        <v>1</v>
      </c>
      <c r="B3" s="132" t="s">
        <v>578</v>
      </c>
      <c r="C3" s="133"/>
      <c r="D3" s="133" t="str">
        <f>IF(LEFT(B3,1)="N","Nhân viên",IF(LEFT(B3,1)="B","Bảo vệ",IF(LEFT(B3,1)="K","Kế toán",IF(LEFT(B3,1)="T","Trưởng phòng",IF(LEFT(B3,1)="P","Phó GĐ",IF(LEFT(B3,1)="G","Giám đốc"))))))</f>
        <v>Nhân viên</v>
      </c>
      <c r="E3" s="134">
        <v>100000</v>
      </c>
      <c r="F3" s="217" t="str">
        <f>IF(D3="Nhân viên","50000",IF(D3="Bảo vệ","0",IF(D3="Kế toán","100000",IF(D3="Trưởng phòng","150000",IF(D3="Phó GĐ","200000",IF(D3="Giám đốc","250000"))))))</f>
        <v>50000</v>
      </c>
      <c r="G3" s="135">
        <v>24</v>
      </c>
      <c r="H3" s="134">
        <f>(25-G3)*50000</f>
        <v>50000</v>
      </c>
      <c r="I3" s="133">
        <f>(E3*G3)-H3</f>
        <v>2350000</v>
      </c>
      <c r="J3" s="133">
        <f>I3+F3</f>
        <v>2400000</v>
      </c>
    </row>
    <row r="4" spans="1:10">
      <c r="A4" s="132">
        <v>2</v>
      </c>
      <c r="B4" s="132" t="s">
        <v>579</v>
      </c>
      <c r="C4" s="133"/>
      <c r="D4" s="133" t="str">
        <f t="shared" ref="D4:D12" si="0">IF(LEFT(B4,1)="N","Nhân viên",IF(LEFT(B4,1)="B","Bảo vệ",IF(LEFT(B4,1)="K","Kế toán",IF(LEFT(B4,1)="T","Trưởng phòng",IF(LEFT(B4,1)="P","Phó GĐ",IF(LEFT(B4,1)="G","Giám đốc"))))))</f>
        <v>Giám đốc</v>
      </c>
      <c r="E4" s="133">
        <v>500000</v>
      </c>
      <c r="F4" s="217" t="str">
        <f t="shared" ref="F4:F12" si="1">IF(D4="Nhân viên","50000",IF(D4="Bảo vệ","0",IF(D4="Kế toán","100000",IF(D4="Trưởng phòng","150000",IF(D4="Phó GĐ","200000",IF(D4="Giám đốc","250000"))))))</f>
        <v>250000</v>
      </c>
      <c r="G4" s="135">
        <v>28</v>
      </c>
      <c r="H4" s="134">
        <v>0</v>
      </c>
      <c r="I4" s="133">
        <f>(E4*G4)-H4</f>
        <v>14000000</v>
      </c>
      <c r="J4" s="133">
        <f>I4+F4</f>
        <v>14250000</v>
      </c>
    </row>
    <row r="5" spans="1:10">
      <c r="A5" s="132">
        <v>3</v>
      </c>
      <c r="B5" s="132" t="s">
        <v>580</v>
      </c>
      <c r="C5" s="133"/>
      <c r="D5" s="133" t="str">
        <f t="shared" si="0"/>
        <v>Phó GĐ</v>
      </c>
      <c r="E5" s="133">
        <v>400000</v>
      </c>
      <c r="F5" s="217" t="str">
        <f t="shared" si="1"/>
        <v>200000</v>
      </c>
      <c r="G5" s="135">
        <v>26</v>
      </c>
      <c r="H5" s="134">
        <v>0</v>
      </c>
      <c r="I5" s="133">
        <f t="shared" ref="I5:I12" si="2">(E5*G5)-H5</f>
        <v>10400000</v>
      </c>
      <c r="J5" s="133">
        <f t="shared" ref="J5:J12" si="3">I5+F5</f>
        <v>10600000</v>
      </c>
    </row>
    <row r="6" spans="1:10">
      <c r="A6" s="132">
        <v>4</v>
      </c>
      <c r="B6" s="132" t="s">
        <v>581</v>
      </c>
      <c r="C6" s="133"/>
      <c r="D6" s="133" t="str">
        <f t="shared" si="0"/>
        <v>Kế toán</v>
      </c>
      <c r="E6" s="133">
        <v>200000</v>
      </c>
      <c r="F6" s="217" t="str">
        <f t="shared" si="1"/>
        <v>100000</v>
      </c>
      <c r="G6" s="135">
        <v>30</v>
      </c>
      <c r="H6" s="134">
        <v>0</v>
      </c>
      <c r="I6" s="133">
        <f t="shared" si="2"/>
        <v>6000000</v>
      </c>
      <c r="J6" s="133">
        <f t="shared" si="3"/>
        <v>6100000</v>
      </c>
    </row>
    <row r="7" spans="1:10">
      <c r="A7" s="132">
        <v>5</v>
      </c>
      <c r="B7" s="132" t="s">
        <v>582</v>
      </c>
      <c r="C7" s="133"/>
      <c r="D7" s="133" t="str">
        <f t="shared" si="0"/>
        <v>Trưởng phòng</v>
      </c>
      <c r="E7" s="133">
        <v>300000</v>
      </c>
      <c r="F7" s="217" t="str">
        <f t="shared" si="1"/>
        <v>150000</v>
      </c>
      <c r="G7" s="135">
        <v>30</v>
      </c>
      <c r="H7" s="134">
        <v>0</v>
      </c>
      <c r="I7" s="133">
        <f t="shared" si="2"/>
        <v>9000000</v>
      </c>
      <c r="J7" s="133">
        <f t="shared" si="3"/>
        <v>9150000</v>
      </c>
    </row>
    <row r="8" spans="1:10">
      <c r="A8" s="132">
        <v>6</v>
      </c>
      <c r="B8" s="132" t="s">
        <v>578</v>
      </c>
      <c r="C8" s="133"/>
      <c r="D8" s="133" t="str">
        <f t="shared" si="0"/>
        <v>Nhân viên</v>
      </c>
      <c r="E8" s="133">
        <v>100000</v>
      </c>
      <c r="F8" s="217" t="str">
        <f t="shared" si="1"/>
        <v>50000</v>
      </c>
      <c r="G8" s="135">
        <v>28</v>
      </c>
      <c r="H8" s="134">
        <v>0</v>
      </c>
      <c r="I8" s="133">
        <f t="shared" si="2"/>
        <v>2800000</v>
      </c>
      <c r="J8" s="133">
        <f t="shared" si="3"/>
        <v>2850000</v>
      </c>
    </row>
    <row r="9" spans="1:10">
      <c r="A9" s="132">
        <v>7</v>
      </c>
      <c r="B9" s="132" t="s">
        <v>392</v>
      </c>
      <c r="C9" s="133"/>
      <c r="D9" s="133" t="str">
        <f t="shared" si="0"/>
        <v>Bảo vệ</v>
      </c>
      <c r="E9" s="133">
        <v>100000</v>
      </c>
      <c r="F9" s="217" t="str">
        <f t="shared" si="1"/>
        <v>0</v>
      </c>
      <c r="G9" s="135">
        <v>32</v>
      </c>
      <c r="H9" s="134">
        <v>0</v>
      </c>
      <c r="I9" s="133">
        <f t="shared" si="2"/>
        <v>3200000</v>
      </c>
      <c r="J9" s="133">
        <f t="shared" si="3"/>
        <v>3200000</v>
      </c>
    </row>
    <row r="10" spans="1:10">
      <c r="A10" s="132">
        <v>8</v>
      </c>
      <c r="B10" s="132" t="s">
        <v>578</v>
      </c>
      <c r="C10" s="133"/>
      <c r="D10" s="133" t="str">
        <f t="shared" si="0"/>
        <v>Nhân viên</v>
      </c>
      <c r="E10" s="133">
        <v>100000</v>
      </c>
      <c r="F10" s="217" t="str">
        <f t="shared" si="1"/>
        <v>50000</v>
      </c>
      <c r="G10" s="135">
        <v>23</v>
      </c>
      <c r="H10" s="134">
        <f t="shared" ref="H10:H12" si="4">(25-G10)*50000</f>
        <v>100000</v>
      </c>
      <c r="I10" s="133">
        <f t="shared" si="2"/>
        <v>2200000</v>
      </c>
      <c r="J10" s="133">
        <f t="shared" si="3"/>
        <v>2250000</v>
      </c>
    </row>
    <row r="11" spans="1:10">
      <c r="A11" s="132">
        <v>9</v>
      </c>
      <c r="B11" s="132" t="s">
        <v>578</v>
      </c>
      <c r="C11" s="133"/>
      <c r="D11" s="133" t="str">
        <f t="shared" si="0"/>
        <v>Nhân viên</v>
      </c>
      <c r="E11" s="133">
        <v>100000</v>
      </c>
      <c r="F11" s="217" t="str">
        <f t="shared" si="1"/>
        <v>50000</v>
      </c>
      <c r="G11" s="135">
        <v>26</v>
      </c>
      <c r="H11" s="134">
        <v>0</v>
      </c>
      <c r="I11" s="133">
        <f t="shared" si="2"/>
        <v>2600000</v>
      </c>
      <c r="J11" s="133">
        <f t="shared" si="3"/>
        <v>2650000</v>
      </c>
    </row>
    <row r="12" spans="1:10">
      <c r="A12" s="132">
        <v>10</v>
      </c>
      <c r="B12" s="132" t="s">
        <v>580</v>
      </c>
      <c r="C12" s="133"/>
      <c r="D12" s="133" t="str">
        <f t="shared" si="0"/>
        <v>Phó GĐ</v>
      </c>
      <c r="E12" s="133">
        <v>400000</v>
      </c>
      <c r="F12" s="217" t="str">
        <f t="shared" si="1"/>
        <v>200000</v>
      </c>
      <c r="G12" s="135">
        <v>20</v>
      </c>
      <c r="H12" s="134">
        <f t="shared" si="4"/>
        <v>250000</v>
      </c>
      <c r="I12" s="133">
        <f t="shared" si="2"/>
        <v>7750000</v>
      </c>
      <c r="J12" s="133">
        <f t="shared" si="3"/>
        <v>7950000</v>
      </c>
    </row>
    <row r="14" spans="1:10">
      <c r="A14" s="255" t="s">
        <v>583</v>
      </c>
      <c r="B14" s="255"/>
      <c r="C14" s="255"/>
      <c r="E14" s="136" t="s">
        <v>584</v>
      </c>
    </row>
    <row r="15" spans="1:10" ht="18">
      <c r="A15" s="137" t="s">
        <v>211</v>
      </c>
      <c r="B15" s="137" t="s">
        <v>573</v>
      </c>
      <c r="C15" s="137" t="s">
        <v>469</v>
      </c>
      <c r="E15" s="138" t="s">
        <v>211</v>
      </c>
      <c r="F15" s="134">
        <v>1</v>
      </c>
      <c r="G15" s="134">
        <v>2</v>
      </c>
      <c r="H15" s="134">
        <v>3</v>
      </c>
      <c r="I15" s="134">
        <v>4</v>
      </c>
      <c r="J15" s="134">
        <v>5</v>
      </c>
    </row>
    <row r="16" spans="1:10">
      <c r="A16" s="135" t="s">
        <v>125</v>
      </c>
      <c r="B16" s="133" t="s">
        <v>585</v>
      </c>
      <c r="C16" s="133">
        <v>0</v>
      </c>
      <c r="E16" s="139" t="s">
        <v>574</v>
      </c>
      <c r="F16" s="133">
        <v>100000</v>
      </c>
      <c r="G16" s="133">
        <v>200000</v>
      </c>
      <c r="H16" s="133">
        <v>300000</v>
      </c>
      <c r="I16" s="133">
        <v>400000</v>
      </c>
      <c r="J16" s="133">
        <v>500000</v>
      </c>
    </row>
    <row r="17" spans="1:6">
      <c r="A17" s="135" t="s">
        <v>586</v>
      </c>
      <c r="B17" s="133" t="s">
        <v>587</v>
      </c>
      <c r="C17" s="133">
        <v>50000</v>
      </c>
    </row>
    <row r="18" spans="1:6">
      <c r="A18" s="135" t="s">
        <v>588</v>
      </c>
      <c r="B18" s="133" t="s">
        <v>278</v>
      </c>
      <c r="C18" s="133">
        <v>100000</v>
      </c>
      <c r="D18" s="140"/>
      <c r="E18" s="141" t="s">
        <v>589</v>
      </c>
      <c r="F18" s="142"/>
    </row>
    <row r="19" spans="1:6">
      <c r="A19" s="135" t="s">
        <v>590</v>
      </c>
      <c r="B19" s="133" t="s">
        <v>591</v>
      </c>
      <c r="C19" s="133">
        <v>150000</v>
      </c>
      <c r="D19" s="140"/>
      <c r="E19" s="141" t="s">
        <v>592</v>
      </c>
      <c r="F19" s="142"/>
    </row>
    <row r="20" spans="1:6">
      <c r="A20" s="135" t="s">
        <v>593</v>
      </c>
      <c r="B20" s="133" t="s">
        <v>594</v>
      </c>
      <c r="C20" s="133">
        <v>200000</v>
      </c>
      <c r="D20" s="140"/>
      <c r="E20" s="141" t="s">
        <v>595</v>
      </c>
      <c r="F20" s="142"/>
    </row>
    <row r="21" spans="1:6">
      <c r="A21" s="135" t="s">
        <v>596</v>
      </c>
      <c r="B21" s="133" t="s">
        <v>597</v>
      </c>
      <c r="C21" s="133">
        <v>250000</v>
      </c>
      <c r="D21" s="140"/>
      <c r="E21" s="143" t="s">
        <v>598</v>
      </c>
      <c r="F21" s="142"/>
    </row>
    <row r="22" spans="1:6">
      <c r="E22" s="142" t="s">
        <v>599</v>
      </c>
      <c r="F22" s="142"/>
    </row>
    <row r="23" spans="1:6">
      <c r="B23" s="136" t="s">
        <v>600</v>
      </c>
      <c r="E23" s="142" t="s">
        <v>609</v>
      </c>
    </row>
    <row r="24" spans="1:6" ht="18">
      <c r="B24" s="137" t="s">
        <v>573</v>
      </c>
      <c r="C24" s="137" t="s">
        <v>507</v>
      </c>
      <c r="E24" s="142" t="s">
        <v>610</v>
      </c>
    </row>
    <row r="25" spans="1:6">
      <c r="B25" s="133" t="s">
        <v>587</v>
      </c>
      <c r="C25" s="133">
        <f>SUMIF($D$3:$D$12,B25,$J$3:$J$12)</f>
        <v>10150000</v>
      </c>
    </row>
    <row r="26" spans="1:6">
      <c r="B26" s="133" t="s">
        <v>591</v>
      </c>
      <c r="C26" s="133">
        <f t="shared" ref="C26:C27" si="5">SUMIF($D$3:$D$12,B26,$J$3:$J$12)</f>
        <v>9150000</v>
      </c>
    </row>
    <row r="27" spans="1:6">
      <c r="B27" s="133" t="s">
        <v>597</v>
      </c>
      <c r="C27" s="133">
        <f t="shared" si="5"/>
        <v>14250000</v>
      </c>
    </row>
  </sheetData>
  <mergeCells count="1">
    <mergeCell ref="A14:C14"/>
  </mergeCells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I29"/>
  <sheetViews>
    <sheetView zoomScale="125" workbookViewId="0">
      <selection activeCell="G26" sqref="G26"/>
    </sheetView>
  </sheetViews>
  <sheetFormatPr baseColWidth="10" defaultColWidth="8.83203125" defaultRowHeight="13"/>
  <cols>
    <col min="1" max="1" width="5.83203125" customWidth="1"/>
    <col min="2" max="2" width="13.33203125" customWidth="1"/>
    <col min="3" max="3" width="7.5" customWidth="1"/>
    <col min="4" max="4" width="6.6640625" customWidth="1"/>
    <col min="5" max="5" width="10" customWidth="1"/>
    <col min="6" max="6" width="13.5" customWidth="1"/>
    <col min="7" max="7" width="11.83203125" customWidth="1"/>
    <col min="8" max="8" width="10.5" customWidth="1"/>
    <col min="9" max="9" width="9.6640625" customWidth="1"/>
  </cols>
  <sheetData>
    <row r="1" spans="1:9" ht="16">
      <c r="B1" s="218" t="s">
        <v>295</v>
      </c>
      <c r="C1" s="219"/>
      <c r="D1" s="219"/>
      <c r="E1" s="219"/>
      <c r="F1" s="219"/>
      <c r="G1" s="219"/>
    </row>
    <row r="2" spans="1:9">
      <c r="A2" s="3" t="s">
        <v>45</v>
      </c>
      <c r="B2" s="3" t="s">
        <v>223</v>
      </c>
      <c r="C2" s="3" t="s">
        <v>197</v>
      </c>
      <c r="D2" s="3" t="s">
        <v>296</v>
      </c>
      <c r="E2" s="3" t="s">
        <v>297</v>
      </c>
      <c r="F2" s="3" t="s">
        <v>298</v>
      </c>
      <c r="G2" s="3" t="s">
        <v>299</v>
      </c>
      <c r="H2" s="3" t="s">
        <v>300</v>
      </c>
      <c r="I2" s="3" t="s">
        <v>301</v>
      </c>
    </row>
    <row r="3" spans="1:9">
      <c r="A3" s="3">
        <v>1</v>
      </c>
      <c r="B3" s="4" t="s">
        <v>302</v>
      </c>
      <c r="C3" s="4" t="s">
        <v>320</v>
      </c>
      <c r="D3" s="4" t="s">
        <v>289</v>
      </c>
      <c r="E3" s="4" t="s">
        <v>336</v>
      </c>
      <c r="F3" s="7">
        <v>28067</v>
      </c>
      <c r="G3" s="3" t="s">
        <v>64</v>
      </c>
      <c r="H3" s="4">
        <v>9</v>
      </c>
      <c r="I3" s="4">
        <v>8</v>
      </c>
    </row>
    <row r="4" spans="1:9">
      <c r="A4" s="3">
        <v>2</v>
      </c>
      <c r="B4" s="4" t="s">
        <v>303</v>
      </c>
      <c r="C4" s="4" t="s">
        <v>321</v>
      </c>
      <c r="D4" s="4" t="s">
        <v>335</v>
      </c>
      <c r="E4" s="4" t="s">
        <v>337</v>
      </c>
      <c r="F4" s="7">
        <v>27317</v>
      </c>
      <c r="G4" s="3" t="s">
        <v>70</v>
      </c>
      <c r="H4" s="4">
        <v>8.5</v>
      </c>
      <c r="I4" s="4">
        <v>7</v>
      </c>
    </row>
    <row r="5" spans="1:9">
      <c r="A5" s="3">
        <v>3</v>
      </c>
      <c r="B5" s="4" t="s">
        <v>304</v>
      </c>
      <c r="C5" s="4" t="s">
        <v>229</v>
      </c>
      <c r="D5" s="4" t="s">
        <v>289</v>
      </c>
      <c r="E5" s="4" t="s">
        <v>336</v>
      </c>
      <c r="F5" s="7">
        <v>25656</v>
      </c>
      <c r="G5" s="3" t="s">
        <v>65</v>
      </c>
      <c r="H5" s="4">
        <v>5.5</v>
      </c>
      <c r="I5" s="4">
        <v>8</v>
      </c>
    </row>
    <row r="6" spans="1:9">
      <c r="A6" s="3">
        <v>4</v>
      </c>
      <c r="B6" s="4" t="s">
        <v>305</v>
      </c>
      <c r="C6" s="4" t="s">
        <v>289</v>
      </c>
      <c r="D6" s="4" t="s">
        <v>289</v>
      </c>
      <c r="E6" s="4" t="s">
        <v>338</v>
      </c>
      <c r="F6" s="7">
        <v>27858</v>
      </c>
      <c r="G6" s="3" t="s">
        <v>64</v>
      </c>
      <c r="H6" s="4">
        <v>6</v>
      </c>
      <c r="I6" s="4">
        <v>7.5</v>
      </c>
    </row>
    <row r="7" spans="1:9">
      <c r="A7" s="3">
        <v>5</v>
      </c>
      <c r="B7" s="4" t="s">
        <v>306</v>
      </c>
      <c r="C7" s="4" t="s">
        <v>322</v>
      </c>
      <c r="D7" s="4" t="s">
        <v>335</v>
      </c>
      <c r="E7" s="4" t="s">
        <v>339</v>
      </c>
      <c r="F7" s="7">
        <v>25476</v>
      </c>
      <c r="G7" s="3" t="s">
        <v>348</v>
      </c>
      <c r="H7" s="4">
        <v>6.5</v>
      </c>
      <c r="I7" s="4">
        <v>6</v>
      </c>
    </row>
    <row r="8" spans="1:9">
      <c r="A8" s="3">
        <v>6</v>
      </c>
      <c r="B8" s="4" t="s">
        <v>307</v>
      </c>
      <c r="C8" s="4" t="s">
        <v>323</v>
      </c>
      <c r="D8" s="4" t="s">
        <v>335</v>
      </c>
      <c r="E8" s="4" t="s">
        <v>340</v>
      </c>
      <c r="F8" s="7">
        <v>25656</v>
      </c>
      <c r="G8" s="3" t="s">
        <v>70</v>
      </c>
      <c r="H8" s="4">
        <v>8</v>
      </c>
      <c r="I8" s="4">
        <v>4</v>
      </c>
    </row>
    <row r="9" spans="1:9">
      <c r="A9" s="3">
        <v>7</v>
      </c>
      <c r="B9" s="4" t="s">
        <v>308</v>
      </c>
      <c r="C9" s="4" t="s">
        <v>324</v>
      </c>
      <c r="D9" s="4" t="s">
        <v>335</v>
      </c>
      <c r="E9" s="4" t="s">
        <v>341</v>
      </c>
      <c r="F9" s="7">
        <v>27677</v>
      </c>
      <c r="G9" s="3" t="s">
        <v>64</v>
      </c>
      <c r="H9" s="4">
        <v>7.25</v>
      </c>
      <c r="I9" s="4">
        <v>8</v>
      </c>
    </row>
    <row r="10" spans="1:9">
      <c r="A10" s="3">
        <v>8</v>
      </c>
      <c r="B10" s="4" t="s">
        <v>309</v>
      </c>
      <c r="C10" s="4" t="s">
        <v>325</v>
      </c>
      <c r="D10" s="4" t="s">
        <v>335</v>
      </c>
      <c r="E10" s="4" t="s">
        <v>342</v>
      </c>
      <c r="F10" s="7">
        <v>27971</v>
      </c>
      <c r="G10" s="3" t="s">
        <v>348</v>
      </c>
      <c r="H10" s="4">
        <v>7.25</v>
      </c>
      <c r="I10" s="4">
        <v>7.25</v>
      </c>
    </row>
    <row r="11" spans="1:9">
      <c r="A11" s="3">
        <v>9</v>
      </c>
      <c r="B11" s="4" t="s">
        <v>310</v>
      </c>
      <c r="C11" s="4" t="s">
        <v>326</v>
      </c>
      <c r="D11" s="4" t="s">
        <v>289</v>
      </c>
      <c r="E11" s="4" t="s">
        <v>343</v>
      </c>
      <c r="F11" s="7">
        <v>27499</v>
      </c>
      <c r="G11" s="3" t="s">
        <v>70</v>
      </c>
      <c r="H11" s="4">
        <v>9</v>
      </c>
      <c r="I11" s="4">
        <v>7</v>
      </c>
    </row>
    <row r="12" spans="1:9">
      <c r="A12" s="3">
        <v>10</v>
      </c>
      <c r="B12" s="4" t="s">
        <v>309</v>
      </c>
      <c r="C12" s="4" t="s">
        <v>324</v>
      </c>
      <c r="D12" s="4" t="s">
        <v>289</v>
      </c>
      <c r="E12" s="4" t="s">
        <v>344</v>
      </c>
      <c r="F12" s="7">
        <v>25476</v>
      </c>
      <c r="G12" s="3" t="s">
        <v>65</v>
      </c>
      <c r="H12" s="4">
        <v>8.5</v>
      </c>
      <c r="I12" s="4">
        <v>6.5</v>
      </c>
    </row>
    <row r="13" spans="1:9">
      <c r="A13" s="3">
        <v>11</v>
      </c>
      <c r="B13" s="4" t="s">
        <v>310</v>
      </c>
      <c r="C13" s="4" t="s">
        <v>326</v>
      </c>
      <c r="D13" s="4" t="s">
        <v>289</v>
      </c>
      <c r="E13" s="4" t="s">
        <v>340</v>
      </c>
      <c r="F13" s="7">
        <v>25656</v>
      </c>
      <c r="G13" s="3" t="s">
        <v>64</v>
      </c>
      <c r="H13" s="4">
        <v>8.5</v>
      </c>
      <c r="I13" s="4">
        <v>7.25</v>
      </c>
    </row>
    <row r="14" spans="1:9">
      <c r="A14" s="3">
        <v>12</v>
      </c>
      <c r="B14" s="4" t="s">
        <v>311</v>
      </c>
      <c r="C14" s="4" t="s">
        <v>327</v>
      </c>
      <c r="D14" s="4" t="s">
        <v>335</v>
      </c>
      <c r="E14" s="4" t="s">
        <v>340</v>
      </c>
      <c r="F14" s="7">
        <v>27677</v>
      </c>
      <c r="G14" s="3" t="s">
        <v>70</v>
      </c>
      <c r="H14" s="4">
        <v>6.5</v>
      </c>
      <c r="I14" s="4">
        <v>7.25</v>
      </c>
    </row>
    <row r="15" spans="1:9">
      <c r="A15" s="3">
        <v>13</v>
      </c>
      <c r="B15" s="4" t="s">
        <v>312</v>
      </c>
      <c r="C15" s="4" t="s">
        <v>328</v>
      </c>
      <c r="D15" s="4" t="s">
        <v>335</v>
      </c>
      <c r="E15" s="4" t="s">
        <v>345</v>
      </c>
      <c r="F15" s="7">
        <v>27971</v>
      </c>
      <c r="G15" s="3" t="s">
        <v>65</v>
      </c>
      <c r="H15" s="4">
        <v>5.75</v>
      </c>
      <c r="I15" s="4">
        <v>8.75</v>
      </c>
    </row>
    <row r="16" spans="1:9">
      <c r="A16" s="3">
        <v>14</v>
      </c>
      <c r="B16" s="4" t="s">
        <v>313</v>
      </c>
      <c r="C16" s="4" t="s">
        <v>329</v>
      </c>
      <c r="D16" s="4" t="s">
        <v>289</v>
      </c>
      <c r="E16" s="4" t="s">
        <v>336</v>
      </c>
      <c r="F16" s="7">
        <v>27499</v>
      </c>
      <c r="G16" s="3" t="s">
        <v>64</v>
      </c>
      <c r="H16" s="4">
        <v>9</v>
      </c>
      <c r="I16" s="4">
        <v>8.75</v>
      </c>
    </row>
    <row r="17" spans="1:9">
      <c r="A17" s="3">
        <v>15</v>
      </c>
      <c r="B17" s="4" t="s">
        <v>314</v>
      </c>
      <c r="C17" s="4" t="s">
        <v>330</v>
      </c>
      <c r="D17" s="4" t="s">
        <v>289</v>
      </c>
      <c r="E17" s="4" t="s">
        <v>336</v>
      </c>
      <c r="F17" s="7">
        <v>27552</v>
      </c>
      <c r="G17" s="3" t="s">
        <v>70</v>
      </c>
      <c r="H17" s="4">
        <v>9.5</v>
      </c>
      <c r="I17" s="4">
        <v>7.25</v>
      </c>
    </row>
    <row r="18" spans="1:9">
      <c r="A18" s="3">
        <v>16</v>
      </c>
      <c r="B18" s="4" t="s">
        <v>315</v>
      </c>
      <c r="C18" s="4" t="s">
        <v>331</v>
      </c>
      <c r="D18" s="4" t="s">
        <v>335</v>
      </c>
      <c r="E18" s="4" t="s">
        <v>336</v>
      </c>
      <c r="F18" s="7">
        <v>26100</v>
      </c>
      <c r="G18" s="3" t="s">
        <v>65</v>
      </c>
      <c r="H18" s="4">
        <v>5</v>
      </c>
      <c r="I18" s="4">
        <v>7.25</v>
      </c>
    </row>
    <row r="19" spans="1:9">
      <c r="A19" s="3">
        <v>17</v>
      </c>
      <c r="B19" s="4" t="s">
        <v>316</v>
      </c>
      <c r="C19" s="4" t="s">
        <v>229</v>
      </c>
      <c r="D19" s="4" t="s">
        <v>289</v>
      </c>
      <c r="E19" s="4" t="s">
        <v>337</v>
      </c>
      <c r="F19" s="7">
        <v>25630</v>
      </c>
      <c r="G19" s="3" t="s">
        <v>70</v>
      </c>
      <c r="H19" s="4">
        <v>8.5</v>
      </c>
      <c r="I19" s="4">
        <v>9</v>
      </c>
    </row>
    <row r="20" spans="1:9">
      <c r="A20" s="3">
        <v>18</v>
      </c>
      <c r="B20" s="4" t="s">
        <v>317</v>
      </c>
      <c r="C20" s="4" t="s">
        <v>332</v>
      </c>
      <c r="D20" s="4" t="s">
        <v>289</v>
      </c>
      <c r="E20" s="4" t="s">
        <v>346</v>
      </c>
      <c r="F20" s="7">
        <v>25671</v>
      </c>
      <c r="G20" s="3" t="s">
        <v>348</v>
      </c>
      <c r="H20" s="4">
        <v>6.75</v>
      </c>
      <c r="I20" s="4">
        <v>2</v>
      </c>
    </row>
    <row r="21" spans="1:9">
      <c r="A21" s="3">
        <v>19</v>
      </c>
      <c r="B21" s="4" t="s">
        <v>318</v>
      </c>
      <c r="C21" s="4" t="s">
        <v>333</v>
      </c>
      <c r="D21" s="4" t="s">
        <v>335</v>
      </c>
      <c r="E21" s="4" t="s">
        <v>347</v>
      </c>
      <c r="F21" s="7">
        <v>26100</v>
      </c>
      <c r="G21" s="3" t="s">
        <v>65</v>
      </c>
      <c r="H21" s="4">
        <v>7.5</v>
      </c>
      <c r="I21" s="4">
        <v>7.25</v>
      </c>
    </row>
    <row r="22" spans="1:9">
      <c r="A22" s="3">
        <v>20</v>
      </c>
      <c r="B22" s="4" t="s">
        <v>319</v>
      </c>
      <c r="C22" s="4" t="s">
        <v>334</v>
      </c>
      <c r="D22" s="4" t="s">
        <v>289</v>
      </c>
      <c r="E22" s="4" t="s">
        <v>336</v>
      </c>
      <c r="F22" s="7">
        <v>25630</v>
      </c>
      <c r="G22" s="3" t="s">
        <v>70</v>
      </c>
      <c r="H22" s="4">
        <v>8.5</v>
      </c>
      <c r="I22" s="4">
        <v>8</v>
      </c>
    </row>
    <row r="24" spans="1:9">
      <c r="A24" t="s">
        <v>603</v>
      </c>
      <c r="G24">
        <f>COUNTIF(G3:G22,"LT")</f>
        <v>7</v>
      </c>
    </row>
    <row r="25" spans="1:9">
      <c r="A25" t="s">
        <v>604</v>
      </c>
    </row>
    <row r="26" spans="1:9">
      <c r="A26" t="s">
        <v>605</v>
      </c>
      <c r="H26" s="3"/>
    </row>
    <row r="27" spans="1:9">
      <c r="A27" t="s">
        <v>606</v>
      </c>
    </row>
    <row r="28" spans="1:9">
      <c r="A28" t="s">
        <v>607</v>
      </c>
      <c r="E28" s="145"/>
      <c r="F28" s="145"/>
      <c r="H28" s="3"/>
    </row>
    <row r="29" spans="1:9">
      <c r="A29" t="s">
        <v>608</v>
      </c>
    </row>
  </sheetData>
  <mergeCells count="1">
    <mergeCell ref="B1:G1"/>
  </mergeCells>
  <phoneticPr fontId="6" type="noConversion"/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Lý thuyết</vt:lpstr>
      <vt:lpstr>Bai 1</vt:lpstr>
      <vt:lpstr>bài 2</vt:lpstr>
      <vt:lpstr>bài 3</vt:lpstr>
      <vt:lpstr>bài 4</vt:lpstr>
      <vt:lpstr>bài 5</vt:lpstr>
      <vt:lpstr>bài 6</vt:lpstr>
      <vt:lpstr>bài 7</vt:lpstr>
      <vt:lpstr>bai 8</vt:lpstr>
      <vt:lpstr>bài 9</vt:lpstr>
      <vt:lpstr>bài 10 </vt:lpstr>
      <vt:lpstr>bài 11</vt:lpstr>
      <vt:lpstr>Bài 12</vt:lpstr>
      <vt:lpstr>Bài 13</vt:lpstr>
      <vt:lpstr>bài 14</vt:lpstr>
      <vt:lpstr>bài 15</vt:lpstr>
      <vt:lpstr>bài 16</vt:lpstr>
      <vt:lpstr>Bai17</vt:lpstr>
      <vt:lpstr>Bai 18</vt:lpstr>
      <vt:lpstr>bài loc</vt:lpstr>
      <vt:lpstr>'bài 15'!Criteria</vt:lpstr>
    </vt:vector>
  </TitlesOfParts>
  <Company>- ETH0 -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</dc:creator>
  <cp:lastModifiedBy>Microsoft Office User</cp:lastModifiedBy>
  <dcterms:created xsi:type="dcterms:W3CDTF">2009-09-29T15:13:00Z</dcterms:created>
  <dcterms:modified xsi:type="dcterms:W3CDTF">2022-08-23T02:35:24Z</dcterms:modified>
</cp:coreProperties>
</file>